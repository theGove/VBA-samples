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B0071337-8741-45FE-B8E0-FE04638DCD05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eng" localSheetId="3" hidden="1">1</definedName>
    <definedName name="solver_lhs1" localSheetId="3" hidden="1">Model!$D$10</definedName>
    <definedName name="solver_lhs2" localSheetId="3" hidden="1">Model!$G$7</definedName>
    <definedName name="solver_neg" localSheetId="3" hidden="1">1</definedName>
    <definedName name="solver_num" localSheetId="3" hidden="1">2</definedName>
    <definedName name="solver_opt" localSheetId="3" hidden="1">Model!$D$12</definedName>
    <definedName name="solver_rel1" localSheetId="3" hidden="1">3</definedName>
    <definedName name="solver_rel2" localSheetId="3" hidden="1">2</definedName>
    <definedName name="solver_rhs1" localSheetId="3" hidden="1">RequiredReturn</definedName>
    <definedName name="solver_rhs2" localSheetId="3" hidden="1">1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65" l="1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D12" i="65" s="1" a="1"/>
  <c r="D12" i="65" s="1"/>
  <c r="D14" i="65" s="1"/>
  <c r="B5" i="65"/>
  <c r="D10" i="65" s="1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  <c r="I2" i="63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  <c r="C7" i="65" l="1"/>
  <c r="C8" i="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<sst xmlns="http://schemas.openxmlformats.org/spreadsheetml/2006/main" count="123" uniqueCount="41">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</sst>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1.1733520991675551E-3</c:v>
                </c:pt>
                <c:pt idx="1">
                  <c:v>1.1733520991675551E-3</c:v>
                </c:pt>
                <c:pt idx="2">
                  <c:v>1.1733520991675551E-3</c:v>
                </c:pt>
                <c:pt idx="3">
                  <c:v>1.1733520991675551E-3</c:v>
                </c:pt>
                <c:pt idx="4">
                  <c:v>1.1733520991675551E-3</c:v>
                </c:pt>
                <c:pt idx="5">
                  <c:v>1.1776835730545833E-3</c:v>
                </c:pt>
                <c:pt idx="6">
                  <c:v>1.2355628894959142E-3</c:v>
                </c:pt>
                <c:pt idx="7">
                  <c:v>1.3053927042515317E-3</c:v>
                </c:pt>
                <c:pt idx="8">
                  <c:v>1.6583865260754215E-3</c:v>
                </c:pt>
                <c:pt idx="9">
                  <c:v>2.4669809572335452E-3</c:v>
                </c:pt>
                <c:pt idx="10">
                  <c:v>7.1298976043752682E-3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8-48CA-9563-85F5966D2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52319"/>
        <c:axId val="1702296767"/>
      </c:scatterChart>
      <c:valAx>
        <c:axId val="515952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2296767"/>
        <c:crosses val="autoZero"/>
        <c:crossBetween val="midCat"/>
      </c:valAx>
      <c:valAx>
        <c:axId val="1702296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9523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3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workbookViewId="0">
      <selection activeCell="I10" sqref="I10"/>
    </sheetView>
  </sheetViews>
  <sheetFormatPr defaultRowHeight="12.75" x14ac:dyDescent="0.2"/>
  <cols>
    <col min="3" max="3" width="9.140625" bestFit="1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35</v>
      </c>
    </row>
    <row r="9" spans="1:10" x14ac:dyDescent="0.2">
      <c r="A9" t="s">
        <v>10</v>
      </c>
      <c r="E9" s="4" t="s">
        <v>36</v>
      </c>
    </row>
    <row r="10" spans="1:10" x14ac:dyDescent="0.2">
      <c r="A10" s="4" t="s">
        <v>13</v>
      </c>
      <c r="E10" s="4" t="s">
        <v>39</v>
      </c>
    </row>
    <row r="11" spans="1:10" x14ac:dyDescent="0.2">
      <c r="A11" t="s">
        <v>8</v>
      </c>
    </row>
    <row r="12" spans="1:10" x14ac:dyDescent="0.2">
      <c r="E12" t="s">
        <v>37</v>
      </c>
      <c r="J12" s="3"/>
    </row>
    <row r="13" spans="1:10" x14ac:dyDescent="0.2">
      <c r="J13" s="3"/>
    </row>
    <row r="14" spans="1:10" x14ac:dyDescent="0.2">
      <c r="E14" s="7" t="s">
        <v>34</v>
      </c>
      <c r="J14" s="3"/>
    </row>
    <row r="15" spans="1:10" x14ac:dyDescent="0.2">
      <c r="J15" s="3"/>
    </row>
    <row r="16" spans="1:10" x14ac:dyDescent="0.2">
      <c r="E16" s="4" t="s">
        <v>40</v>
      </c>
      <c r="J16" s="3"/>
    </row>
    <row r="17" spans="5:10" x14ac:dyDescent="0.2">
      <c r="E17" t="s">
        <v>38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workbookViewId="0"/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workbookViewId="0"/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tabSelected="1" workbookViewId="0">
      <selection activeCell="W3" sqref="W3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0</v>
      </c>
      <c r="C4">
        <v>0</v>
      </c>
      <c r="D4">
        <v>0</v>
      </c>
      <c r="E4">
        <v>0</v>
      </c>
      <c r="F4">
        <v>0</v>
      </c>
      <c r="G4">
        <v>2.1990954306108009E-6</v>
      </c>
      <c r="H4">
        <v>0</v>
      </c>
      <c r="I4">
        <v>0</v>
      </c>
      <c r="J4">
        <v>0</v>
      </c>
      <c r="K4">
        <v>0.99999780090456936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1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2.403996042716014E-2</v>
      </c>
      <c r="E10" s="6" t="s">
        <v>29</v>
      </c>
      <c r="F10">
        <v>2.4039968848228455E-2</v>
      </c>
    </row>
    <row r="12" spans="1:11" x14ac:dyDescent="0.2">
      <c r="A12" s="5" t="s">
        <v>30</v>
      </c>
      <c r="D12">
        <f t="array" ref="D12">MMULT(weights,MMULT(covariances,TRANSPOSE(weights)))</f>
        <v>7.1298976043752682E-3</v>
      </c>
    </row>
    <row r="14" spans="1:11" x14ac:dyDescent="0.2">
      <c r="A14" s="5" t="s">
        <v>31</v>
      </c>
      <c r="D14">
        <f>SQRT(portfolioVariance)</f>
        <v>8.4438721001536182E-2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workbookViewId="0">
      <selection activeCell="G8" sqref="G8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1.1733520991675551E-3</v>
      </c>
      <c r="C4">
        <v>-1.6404091147705913E-3</v>
      </c>
      <c r="E4">
        <v>7.6557386092272472E-2</v>
      </c>
      <c r="F4">
        <v>1.6499197009727865E-2</v>
      </c>
      <c r="G4">
        <v>0.10093155849427243</v>
      </c>
      <c r="H4">
        <v>3.4432437252619262E-2</v>
      </c>
      <c r="I4">
        <v>0.12317656481103911</v>
      </c>
      <c r="J4">
        <v>0.11919088497846146</v>
      </c>
      <c r="K4">
        <v>1.7346321530974998E-2</v>
      </c>
      <c r="L4">
        <v>0.27595728993090446</v>
      </c>
      <c r="M4">
        <v>0.23590835989972794</v>
      </c>
      <c r="N4">
        <v>0</v>
      </c>
    </row>
    <row r="5" spans="1:14" x14ac:dyDescent="0.2">
      <c r="B5">
        <v>1.1733520991675551E-3</v>
      </c>
      <c r="C5">
        <v>9.2762865824624896E-4</v>
      </c>
      <c r="E5">
        <v>7.6557386092272472E-2</v>
      </c>
      <c r="F5">
        <v>1.6499197009727865E-2</v>
      </c>
      <c r="G5">
        <v>0.10093155849427243</v>
      </c>
      <c r="H5">
        <v>3.4432437252619262E-2</v>
      </c>
      <c r="I5">
        <v>0.12317656481103911</v>
      </c>
      <c r="J5">
        <v>0.11919088497846146</v>
      </c>
      <c r="K5">
        <v>1.7346321530974998E-2</v>
      </c>
      <c r="L5">
        <v>0.27595728993090446</v>
      </c>
      <c r="M5">
        <v>0.23590835989972794</v>
      </c>
      <c r="N5">
        <v>0</v>
      </c>
    </row>
    <row r="6" spans="1:14" x14ac:dyDescent="0.2">
      <c r="B6">
        <v>1.1733520991675551E-3</v>
      </c>
      <c r="C6">
        <v>3.4956664312630892E-3</v>
      </c>
      <c r="E6">
        <v>7.6557386092272472E-2</v>
      </c>
      <c r="F6">
        <v>1.6499197009727865E-2</v>
      </c>
      <c r="G6">
        <v>0.10093155849427243</v>
      </c>
      <c r="H6">
        <v>3.4432437252619262E-2</v>
      </c>
      <c r="I6">
        <v>0.12317656481103911</v>
      </c>
      <c r="J6">
        <v>0.11919088497846146</v>
      </c>
      <c r="K6">
        <v>1.7346321530974998E-2</v>
      </c>
      <c r="L6">
        <v>0.27595728993090446</v>
      </c>
      <c r="M6">
        <v>0.23590835989972794</v>
      </c>
      <c r="N6">
        <v>0</v>
      </c>
    </row>
    <row r="7" spans="1:14" x14ac:dyDescent="0.2">
      <c r="B7">
        <v>1.1733520991675551E-3</v>
      </c>
      <c r="C7">
        <v>6.0637043789029121E-3</v>
      </c>
      <c r="E7">
        <v>7.6557386092272472E-2</v>
      </c>
      <c r="F7">
        <v>1.6499197009727865E-2</v>
      </c>
      <c r="G7">
        <v>0.10093155849427243</v>
      </c>
      <c r="H7">
        <v>3.4432437252619262E-2</v>
      </c>
      <c r="I7">
        <v>0.12317656481103911</v>
      </c>
      <c r="J7">
        <v>0.11919088497846146</v>
      </c>
      <c r="K7">
        <v>1.7346321530974998E-2</v>
      </c>
      <c r="L7">
        <v>0.27595728993090446</v>
      </c>
      <c r="M7">
        <v>0.23590835989972794</v>
      </c>
      <c r="N7">
        <v>0</v>
      </c>
    </row>
    <row r="8" spans="1:14" x14ac:dyDescent="0.2">
      <c r="B8">
        <v>1.1733520991675551E-3</v>
      </c>
      <c r="C8">
        <v>8.6317416280508041E-3</v>
      </c>
      <c r="E8">
        <v>7.6557386092272472E-2</v>
      </c>
      <c r="F8">
        <v>1.6499197009727865E-2</v>
      </c>
      <c r="G8">
        <v>0.10093155849427243</v>
      </c>
      <c r="H8">
        <v>3.4432437252619262E-2</v>
      </c>
      <c r="I8">
        <v>0.12317656481103911</v>
      </c>
      <c r="J8">
        <v>0.11919088497846146</v>
      </c>
      <c r="K8">
        <v>1.7346321530974998E-2</v>
      </c>
      <c r="L8">
        <v>0.27595728993090446</v>
      </c>
      <c r="M8">
        <v>0.23590835989972794</v>
      </c>
      <c r="N8">
        <v>0</v>
      </c>
    </row>
    <row r="9" spans="1:14" x14ac:dyDescent="0.2">
      <c r="B9">
        <v>1.1776835730545833E-3</v>
      </c>
      <c r="C9">
        <v>1.1199779808521271E-2</v>
      </c>
      <c r="E9">
        <v>8.7803445808495029E-2</v>
      </c>
      <c r="F9">
        <v>1.8420417442429751E-2</v>
      </c>
      <c r="G9">
        <v>8.6824780837561247E-2</v>
      </c>
      <c r="H9">
        <v>1.2650305383782206E-2</v>
      </c>
      <c r="I9">
        <v>0.12745788759781984</v>
      </c>
      <c r="J9">
        <v>0.13642457879995395</v>
      </c>
      <c r="K9">
        <v>1.1224633473917181E-2</v>
      </c>
      <c r="L9">
        <v>0.29091394354418126</v>
      </c>
      <c r="M9">
        <v>0.21981497155224131</v>
      </c>
      <c r="N9">
        <v>8.4650355596181288E-3</v>
      </c>
    </row>
    <row r="10" spans="1:14" x14ac:dyDescent="0.2">
      <c r="B10">
        <v>1.2355628894959142E-3</v>
      </c>
      <c r="C10">
        <v>1.3767817988991737E-2</v>
      </c>
      <c r="E10">
        <v>0.10678953707266807</v>
      </c>
      <c r="F10">
        <v>2.5513249200033252E-2</v>
      </c>
      <c r="G10">
        <v>3.2112246850466451E-2</v>
      </c>
      <c r="H10">
        <v>0</v>
      </c>
      <c r="I10">
        <v>0.11739918226913772</v>
      </c>
      <c r="J10">
        <v>0.18998479534325483</v>
      </c>
      <c r="K10">
        <v>0</v>
      </c>
      <c r="L10">
        <v>0.32628263507268035</v>
      </c>
      <c r="M10">
        <v>0.15251626199145718</v>
      </c>
      <c r="N10">
        <v>4.9402092200302082E-2</v>
      </c>
    </row>
    <row r="11" spans="1:14" x14ac:dyDescent="0.2">
      <c r="B11">
        <v>1.3053927042515317E-3</v>
      </c>
      <c r="C11">
        <v>1.6335856169462204E-2</v>
      </c>
      <c r="E11">
        <v>7.7012055459188947E-2</v>
      </c>
      <c r="F11">
        <v>4.1340828712992189E-2</v>
      </c>
      <c r="G11">
        <v>0</v>
      </c>
      <c r="H11">
        <v>0</v>
      </c>
      <c r="I11">
        <v>0.11128151795102892</v>
      </c>
      <c r="J11">
        <v>0.21591458208275766</v>
      </c>
      <c r="K11">
        <v>0</v>
      </c>
      <c r="L11">
        <v>0.34057113354490981</v>
      </c>
      <c r="M11">
        <v>0.12591632000160743</v>
      </c>
      <c r="N11">
        <v>8.7963562247514976E-2</v>
      </c>
    </row>
    <row r="12" spans="1:14" x14ac:dyDescent="0.2">
      <c r="B12">
        <v>1.6583865260754215E-3</v>
      </c>
      <c r="C12">
        <v>1.8903892487287521E-2</v>
      </c>
      <c r="E12">
        <v>4.6891927924778282E-2</v>
      </c>
      <c r="F12">
        <v>4.8144410402906068E-2</v>
      </c>
      <c r="G12">
        <v>0</v>
      </c>
      <c r="H12">
        <v>0</v>
      </c>
      <c r="I12">
        <v>0</v>
      </c>
      <c r="J12">
        <v>0.37390017608142873</v>
      </c>
      <c r="K12">
        <v>0</v>
      </c>
      <c r="L12">
        <v>0.35469868764723161</v>
      </c>
      <c r="M12">
        <v>0</v>
      </c>
      <c r="N12">
        <v>0.17636479794365506</v>
      </c>
    </row>
    <row r="13" spans="1:14" x14ac:dyDescent="0.2">
      <c r="B13">
        <v>2.4669809572335452E-3</v>
      </c>
      <c r="C13">
        <v>2.1471930667757988E-2</v>
      </c>
      <c r="E13">
        <v>0</v>
      </c>
      <c r="F13">
        <v>2.6046732153347761E-2</v>
      </c>
      <c r="G13">
        <v>0</v>
      </c>
      <c r="H13">
        <v>0</v>
      </c>
      <c r="I13">
        <v>0</v>
      </c>
      <c r="J13">
        <v>0.54976487904064886</v>
      </c>
      <c r="K13">
        <v>0</v>
      </c>
      <c r="L13">
        <v>2.3938465002303965E-2</v>
      </c>
      <c r="M13">
        <v>0</v>
      </c>
      <c r="N13">
        <v>0.40024992380369928</v>
      </c>
    </row>
    <row r="14" spans="1:14" x14ac:dyDescent="0.2">
      <c r="B14">
        <v>7.1298976043752682E-3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2.1990954306108009E-6</v>
      </c>
      <c r="K14">
        <v>0</v>
      </c>
      <c r="L14">
        <v>0</v>
      </c>
      <c r="M14">
        <v>0</v>
      </c>
      <c r="N14">
        <v>0.99999780090456936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:I88"/>
  <sheetViews>
    <sheetView workbookViewId="0"/>
  </sheetViews>
  <sheetFormatPr defaultRowHeight="12.75" x14ac:dyDescent="0.2"/>
  <sheetData>
    <row r="1" spans="1:9" x14ac:dyDescent="0.2">
      <c r="A1" s="2">
        <v>43572</v>
      </c>
      <c r="B1">
        <v>52.27</v>
      </c>
      <c r="C1">
        <v>53.73</v>
      </c>
      <c r="D1">
        <v>51.38</v>
      </c>
      <c r="E1">
        <v>52.77</v>
      </c>
      <c r="F1">
        <v>52.77</v>
      </c>
      <c r="G1">
        <v>46604896</v>
      </c>
      <c r="H1">
        <v>0</v>
      </c>
      <c r="I1" t="s">
        <v>33</v>
      </c>
    </row>
    <row r="2" spans="1:9" x14ac:dyDescent="0.2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2022-12-07T21:59:04Z</dcterms:modified>
</cp:coreProperties>
</file>