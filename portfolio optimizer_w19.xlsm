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1C7532EA-55BD-4A85-84CB-9908CF288765}" xr6:coauthVersionLast="43" xr6:coauthVersionMax="43" xr10:uidLastSave="{00000000-0000-0000-0000-000000000000}"/>
  <bookViews>
    <workbookView xWindow="-108" yWindow="-108" windowWidth="23256" windowHeight="12576" activeTab="4" xr2:uid="{00000000-000D-0000-FFFF-FFFF00000000}"/>
  </bookViews>
  <sheets>
    <sheet name="Tickers" sheetId="1" r:id="rId1"/>
    <sheet name="Consolidate" sheetId="72" r:id="rId2"/>
    <sheet name="Summary" sheetId="71" r:id="rId3"/>
    <sheet name="Model" sheetId="70" r:id="rId4"/>
    <sheet name="Frontier" sheetId="69" r:id="rId5"/>
    <sheet name="Yahoo" sheetId="68" r:id="rId6"/>
  </sheets>
  <definedNames>
    <definedName name="AA">#REF!</definedName>
    <definedName name="AAPL">Consolidate!$B$2:$B$87</definedName>
    <definedName name="AXP">Consolidate!$A$2:$A$87</definedName>
    <definedName name="BA">#REF!</definedName>
    <definedName name="CAT">#REF!</definedName>
    <definedName name="CHV">#REF!</definedName>
    <definedName name="COST">Consolidate!$H$2:$H$87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Consolidate!$C$2:$C$87</definedName>
    <definedName name="GE">Consolidate!$G$2:$G$87</definedName>
    <definedName name="GM">#REF!</definedName>
    <definedName name="GOOG">#REF!</definedName>
    <definedName name="IBM">Consolidate!$D$2:$D$87</definedName>
    <definedName name="JAVA">#REF!</definedName>
    <definedName name="LUV">Consolidate!$J$2:$J$87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Consolidate!$F$2:$F$87</definedName>
    <definedName name="ORCL">Consolidate!$E$2:$E$87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eng" localSheetId="3" hidden="1">1</definedName>
    <definedName name="solver_lhs1" localSheetId="3" hidden="1">Model!$G$7</definedName>
    <definedName name="solver_lhs2" localSheetId="3" hidden="1">Model!$D$10</definedName>
    <definedName name="solver_neg" localSheetId="3" hidden="1">1</definedName>
    <definedName name="solver_num" localSheetId="3" hidden="1">2</definedName>
    <definedName name="solver_opt" localSheetId="3" hidden="1">Model!$D$12</definedName>
    <definedName name="solver_rel1" localSheetId="3" hidden="1">2</definedName>
    <definedName name="solver_rel2" localSheetId="3" hidden="1">3</definedName>
    <definedName name="solver_rhs1" localSheetId="3" hidden="1">1</definedName>
    <definedName name="solver_rhs2" localSheetId="3" hidden="1">RequiredReturn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Consolidate!$I$2:$I$87</definedName>
    <definedName name="xrx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70" l="1" a="1"/>
  <c r="D12" i="70" s="1"/>
  <c r="D14" i="70" s="1"/>
  <c r="D10" i="70"/>
  <c r="G7" i="70"/>
  <c r="C8" i="70"/>
  <c r="C7" i="70"/>
  <c r="K26" i="70"/>
  <c r="K25" i="70"/>
  <c r="K24" i="70"/>
  <c r="K23" i="70"/>
  <c r="K22" i="70"/>
  <c r="K21" i="70"/>
  <c r="K20" i="70"/>
  <c r="K19" i="70"/>
  <c r="K18" i="70"/>
  <c r="K17" i="70"/>
  <c r="K5" i="70"/>
  <c r="J26" i="70"/>
  <c r="J25" i="70"/>
  <c r="J24" i="70"/>
  <c r="J23" i="70"/>
  <c r="J22" i="70"/>
  <c r="J21" i="70"/>
  <c r="J20" i="70"/>
  <c r="J19" i="70"/>
  <c r="J18" i="70"/>
  <c r="J17" i="70"/>
  <c r="J5" i="70"/>
  <c r="I26" i="70"/>
  <c r="I25" i="70"/>
  <c r="I24" i="70"/>
  <c r="I23" i="70"/>
  <c r="I22" i="70"/>
  <c r="I21" i="70"/>
  <c r="I20" i="70"/>
  <c r="I19" i="70"/>
  <c r="I18" i="70"/>
  <c r="I17" i="70"/>
  <c r="I5" i="70"/>
  <c r="H26" i="70"/>
  <c r="H25" i="70"/>
  <c r="H24" i="70"/>
  <c r="H23" i="70"/>
  <c r="H22" i="70"/>
  <c r="H21" i="70"/>
  <c r="H20" i="70"/>
  <c r="H19" i="70"/>
  <c r="H18" i="70"/>
  <c r="H17" i="70"/>
  <c r="H5" i="70"/>
  <c r="G26" i="70"/>
  <c r="G25" i="70"/>
  <c r="G24" i="70"/>
  <c r="G23" i="70"/>
  <c r="G22" i="70"/>
  <c r="G21" i="70"/>
  <c r="G20" i="70"/>
  <c r="G19" i="70"/>
  <c r="G18" i="70"/>
  <c r="G17" i="70"/>
  <c r="G5" i="70"/>
  <c r="F26" i="70"/>
  <c r="F25" i="70"/>
  <c r="F24" i="70"/>
  <c r="F23" i="70"/>
  <c r="F22" i="70"/>
  <c r="F21" i="70"/>
  <c r="F20" i="70"/>
  <c r="F19" i="70"/>
  <c r="F18" i="70"/>
  <c r="F17" i="70"/>
  <c r="F5" i="70"/>
  <c r="E26" i="70"/>
  <c r="E25" i="70"/>
  <c r="E24" i="70"/>
  <c r="E23" i="70"/>
  <c r="E22" i="70"/>
  <c r="E21" i="70"/>
  <c r="E20" i="70"/>
  <c r="E19" i="70"/>
  <c r="E18" i="70"/>
  <c r="E17" i="70"/>
  <c r="E5" i="70"/>
  <c r="D26" i="70"/>
  <c r="D25" i="70"/>
  <c r="D24" i="70"/>
  <c r="D23" i="70"/>
  <c r="D22" i="70"/>
  <c r="D21" i="70"/>
  <c r="D20" i="70"/>
  <c r="D19" i="70"/>
  <c r="D18" i="70"/>
  <c r="D17" i="70"/>
  <c r="D5" i="70"/>
  <c r="C26" i="70"/>
  <c r="C25" i="70"/>
  <c r="C24" i="70"/>
  <c r="C23" i="70"/>
  <c r="C22" i="70"/>
  <c r="C21" i="70"/>
  <c r="C20" i="70"/>
  <c r="C19" i="70"/>
  <c r="C18" i="70"/>
  <c r="C17" i="70"/>
  <c r="C5" i="70"/>
  <c r="B26" i="70"/>
  <c r="B25" i="70"/>
  <c r="B24" i="70"/>
  <c r="B23" i="70"/>
  <c r="B22" i="70"/>
  <c r="B21" i="70"/>
  <c r="B20" i="70"/>
  <c r="B19" i="70"/>
  <c r="B18" i="70"/>
  <c r="B17" i="70"/>
  <c r="B5" i="70"/>
  <c r="K17" i="71"/>
  <c r="K16" i="71"/>
  <c r="K15" i="71"/>
  <c r="K14" i="71"/>
  <c r="K13" i="71"/>
  <c r="K12" i="71"/>
  <c r="K11" i="71"/>
  <c r="K10" i="71"/>
  <c r="K9" i="71"/>
  <c r="K8" i="71"/>
  <c r="K5" i="71"/>
  <c r="K4" i="71"/>
  <c r="J17" i="71"/>
  <c r="J16" i="71"/>
  <c r="J15" i="71"/>
  <c r="J14" i="71"/>
  <c r="J13" i="71"/>
  <c r="J12" i="71"/>
  <c r="J11" i="71"/>
  <c r="J10" i="71"/>
  <c r="J9" i="71"/>
  <c r="J8" i="71"/>
  <c r="J5" i="71"/>
  <c r="J4" i="71"/>
  <c r="I17" i="71"/>
  <c r="I16" i="71"/>
  <c r="I15" i="71"/>
  <c r="I14" i="71"/>
  <c r="I13" i="71"/>
  <c r="I12" i="71"/>
  <c r="I11" i="71"/>
  <c r="I10" i="71"/>
  <c r="I9" i="71"/>
  <c r="I8" i="71"/>
  <c r="I5" i="71"/>
  <c r="I4" i="71"/>
  <c r="H17" i="71"/>
  <c r="H16" i="71"/>
  <c r="H15" i="71"/>
  <c r="H14" i="71"/>
  <c r="H13" i="71"/>
  <c r="H12" i="71"/>
  <c r="H11" i="71"/>
  <c r="H10" i="71"/>
  <c r="H9" i="71"/>
  <c r="H8" i="71"/>
  <c r="H5" i="71"/>
  <c r="H4" i="71"/>
  <c r="G17" i="71"/>
  <c r="G16" i="71"/>
  <c r="G15" i="71"/>
  <c r="G14" i="71"/>
  <c r="G13" i="71"/>
  <c r="G12" i="71"/>
  <c r="G11" i="71"/>
  <c r="G10" i="71"/>
  <c r="G9" i="71"/>
  <c r="G8" i="71"/>
  <c r="G5" i="71"/>
  <c r="G4" i="71"/>
  <c r="F17" i="71"/>
  <c r="F16" i="71"/>
  <c r="F15" i="71"/>
  <c r="F14" i="71"/>
  <c r="F13" i="71"/>
  <c r="F12" i="71"/>
  <c r="F11" i="71"/>
  <c r="F10" i="71"/>
  <c r="F9" i="71"/>
  <c r="F8" i="71"/>
  <c r="F5" i="71"/>
  <c r="F4" i="71"/>
  <c r="E17" i="71"/>
  <c r="E16" i="71"/>
  <c r="E15" i="71"/>
  <c r="E14" i="71"/>
  <c r="E13" i="71"/>
  <c r="E12" i="71"/>
  <c r="E11" i="71"/>
  <c r="E10" i="71"/>
  <c r="E9" i="71"/>
  <c r="E8" i="71"/>
  <c r="E5" i="71"/>
  <c r="E4" i="71"/>
  <c r="D17" i="71"/>
  <c r="D16" i="71"/>
  <c r="D15" i="71"/>
  <c r="D14" i="71"/>
  <c r="D13" i="71"/>
  <c r="D12" i="71"/>
  <c r="D11" i="71"/>
  <c r="D10" i="71"/>
  <c r="D9" i="71"/>
  <c r="D8" i="71"/>
  <c r="D5" i="71"/>
  <c r="D4" i="71"/>
  <c r="C17" i="71"/>
  <c r="C16" i="71"/>
  <c r="C15" i="71"/>
  <c r="C14" i="71"/>
  <c r="C13" i="71"/>
  <c r="C12" i="71"/>
  <c r="C11" i="71"/>
  <c r="C10" i="71"/>
  <c r="C9" i="71"/>
  <c r="C8" i="71"/>
  <c r="C5" i="71"/>
  <c r="C4" i="71"/>
  <c r="B17" i="71"/>
  <c r="B16" i="71"/>
  <c r="B15" i="71"/>
  <c r="B14" i="71"/>
  <c r="B13" i="71"/>
  <c r="B12" i="71"/>
  <c r="B11" i="71"/>
  <c r="B10" i="71"/>
  <c r="B9" i="71"/>
  <c r="B8" i="71"/>
  <c r="B5" i="71"/>
  <c r="B4" i="71"/>
  <c r="I2" i="68"/>
  <c r="I3" i="68"/>
  <c r="I4" i="68"/>
  <c r="I5" i="68"/>
  <c r="I6" i="68"/>
  <c r="I7" i="68"/>
  <c r="I8" i="68"/>
  <c r="I9" i="68"/>
  <c r="I10" i="68"/>
  <c r="I11" i="68"/>
  <c r="I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26" i="68"/>
  <c r="I27" i="68"/>
  <c r="I28" i="68"/>
  <c r="I29" i="68"/>
  <c r="I30" i="68"/>
  <c r="I31" i="68"/>
  <c r="I32" i="68"/>
  <c r="I33" i="68"/>
  <c r="I34" i="68"/>
  <c r="I35" i="68"/>
  <c r="I36" i="68"/>
  <c r="I37" i="68"/>
  <c r="I38" i="68"/>
  <c r="I39" i="68"/>
  <c r="I40" i="68"/>
  <c r="I41" i="68"/>
  <c r="I42" i="68"/>
  <c r="I43" i="68"/>
  <c r="I44" i="68"/>
  <c r="I45" i="68"/>
  <c r="I46" i="68"/>
  <c r="I47" i="68"/>
  <c r="I48" i="68"/>
  <c r="I49" i="68"/>
  <c r="I50" i="68"/>
  <c r="I51" i="68"/>
  <c r="I52" i="68"/>
  <c r="I53" i="68"/>
  <c r="I54" i="68"/>
  <c r="I55" i="68"/>
  <c r="I56" i="68"/>
  <c r="I57" i="68"/>
  <c r="I58" i="68"/>
  <c r="I59" i="68"/>
  <c r="I60" i="68"/>
  <c r="I61" i="68"/>
  <c r="I62" i="68"/>
  <c r="I63" i="68"/>
  <c r="I64" i="68"/>
  <c r="I65" i="68"/>
  <c r="I66" i="68"/>
  <c r="I67" i="68"/>
  <c r="I68" i="68"/>
  <c r="I69" i="68"/>
  <c r="I70" i="68"/>
  <c r="I71" i="68"/>
  <c r="I72" i="68"/>
  <c r="I73" i="68"/>
  <c r="I74" i="68"/>
  <c r="I75" i="68"/>
  <c r="I76" i="68"/>
  <c r="I77" i="68"/>
  <c r="I78" i="68"/>
  <c r="I79" i="68"/>
  <c r="I80" i="68"/>
  <c r="I81" i="68"/>
  <c r="I82" i="68"/>
  <c r="I83" i="68"/>
  <c r="I84" i="68"/>
  <c r="I85" i="68"/>
  <c r="I86" i="68"/>
  <c r="I87" i="6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AAE47E-7199-4ECB-80AE-35EC86807BB4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89DE58C6-A01B-45FE-904C-6A3791DEFA01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<sst xmlns="http://schemas.openxmlformats.org/spreadsheetml/2006/main" count="123" uniqueCount="41">
  <si>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</si>
  <si>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</si>
  <si>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</si>
  <si>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</si>
  <si>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</si>
  <si>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</si>
  <si>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</si>
  <si>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</si>
  <si>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</si>
  <si>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</si>
  <si>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</si>
  <si>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</si>
  <si>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</si>
  <si>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</si>
  <si>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</si>
  <si>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</si>
  <si>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</si>
  <si>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</si>
  <si>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</si>
  <si>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</si>
  <si>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</si>
  <si>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</si>
  <si>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</si>
  <si>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</si>
  <si>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</si>
  <si>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</si>
  <si>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</si>
  <si>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</si>
  <si>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</si>
  <si>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</si>
  <si>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</si>
  <si>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</si>
  <si>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</si>
  <si>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</si>
  <si>
    <t>https://www.alphavantage.co/</t>
  </si>
  <si>
    <t xml:space="preserve">This model gets data from alphaadvantage.co </t>
  </si>
  <si>
    <t>and is limited to makng 5 requests a minute</t>
  </si>
  <si>
    <t xml:space="preserve">To sign up for your own key, go to </t>
  </si>
  <si>
    <t>G0O6KVPUQ0M3960Y</t>
  </si>
  <si>
    <t xml:space="preserve">and 500 requests per day.  </t>
  </si>
  <si>
    <t>API key for requests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</si>
</sst>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1.1733520765716959E-3</c:v>
                </c:pt>
                <c:pt idx="1">
                  <c:v>1.1733520765716959E-3</c:v>
                </c:pt>
                <c:pt idx="2">
                  <c:v>1.1733520765716959E-3</c:v>
                </c:pt>
                <c:pt idx="3">
                  <c:v>1.1733520765716959E-3</c:v>
                </c:pt>
                <c:pt idx="4">
                  <c:v>1.1733520765716959E-3</c:v>
                </c:pt>
                <c:pt idx="5">
                  <c:v>1.1776835729048847E-3</c:v>
                </c:pt>
                <c:pt idx="6">
                  <c:v>1.2355628894957836E-3</c:v>
                </c:pt>
                <c:pt idx="7">
                  <c:v>1.3053926520777996E-3</c:v>
                </c:pt>
                <c:pt idx="8">
                  <c:v>1.6583865260754362E-3</c:v>
                </c:pt>
                <c:pt idx="9">
                  <c:v>2.4669809561463129E-3</c:v>
                </c:pt>
                <c:pt idx="10">
                  <c:v>7.1298977584110437E-3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-1.6404091147705913E-3</c:v>
                </c:pt>
                <c:pt idx="1">
                  <c:v>9.2762865824624896E-4</c:v>
                </c:pt>
                <c:pt idx="2">
                  <c:v>3.4956664312630892E-3</c:v>
                </c:pt>
                <c:pt idx="3">
                  <c:v>6.0637043789029121E-3</c:v>
                </c:pt>
                <c:pt idx="4">
                  <c:v>8.6317416280508041E-3</c:v>
                </c:pt>
                <c:pt idx="5">
                  <c:v>1.1199779808521271E-2</c:v>
                </c:pt>
                <c:pt idx="6">
                  <c:v>1.3767817988991737E-2</c:v>
                </c:pt>
                <c:pt idx="7">
                  <c:v>1.6335856169462204E-2</c:v>
                </c:pt>
                <c:pt idx="8">
                  <c:v>1.8903892487287521E-2</c:v>
                </c:pt>
                <c:pt idx="9">
                  <c:v>2.1471930667757988E-2</c:v>
                </c:pt>
                <c:pt idx="10">
                  <c:v>2.4039968848228455E-2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89-469C-A1DF-45CFFEA37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6075824"/>
        <c:axId val="985580128"/>
      </c:scatterChart>
      <c:valAx>
        <c:axId val="110607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85580128"/>
        <c:crosses val="autoZero"/>
        <c:crossBetween val="midCat"/>
      </c:valAx>
      <c:valAx>
        <c:axId val="98558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060758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114300</xdr:rowOff>
        </xdr:from>
        <xdr:to>
          <xdr:col>2</xdr:col>
          <xdr:colOff>388620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411480</xdr:colOff>
          <xdr:row>3</xdr:row>
          <xdr:rowOff>160020</xdr:rowOff>
        </xdr:from>
        <xdr:to>
          <xdr:col>5</xdr:col>
          <xdr:colOff>144780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411480</xdr:colOff>
          <xdr:row>2</xdr:row>
          <xdr:rowOff>22860</xdr:rowOff>
        </xdr:from>
        <xdr:to>
          <xdr:col>5</xdr:col>
          <xdr:colOff>144780</xdr:colOff>
          <xdr:row>3</xdr:row>
          <xdr:rowOff>99060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6</xdr:row>
          <xdr:rowOff>83820</xdr:rowOff>
        </xdr:from>
        <xdr:to>
          <xdr:col>8</xdr:col>
          <xdr:colOff>304800</xdr:colOff>
          <xdr:row>8</xdr:row>
          <xdr:rowOff>0</xdr:rowOff>
        </xdr:to>
        <xdr:sp macro="" textlink="">
          <xdr:nvSpPr>
            <xdr:cNvPr id="125953" name="Button 1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577B08D3-E76B-4508-858C-7EB49F31E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2A3212-09B3-4965-9F10-D413507AC1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lphavantage.co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ickers"/>
  <dimension ref="A1:J35"/>
  <sheetViews>
    <sheetView workbookViewId="0">
      <selection activeCell="H4" sqref="H4"/>
    </sheetView>
  </sheetViews>
  <sheetFormatPr defaultRowHeight="13.2" x14ac:dyDescent="0.25"/>
  <cols>
    <col min="3" max="3" width="9.109375" bestFit="1" customWidth="1"/>
    <col min="5" max="5" width="40.33203125" customWidth="1"/>
  </cols>
  <sheetData>
    <row r="1" spans="1:10" x14ac:dyDescent="0.25">
      <c r="A1" s="1" t="s">
        <v>2</v>
      </c>
      <c r="B1" t="s">
        <v>0</v>
      </c>
      <c r="C1" s="1" t="s">
        <v>3</v>
      </c>
    </row>
    <row r="2" spans="1:10" x14ac:dyDescent="0.25">
      <c r="A2" t="s">
        <v>1</v>
      </c>
      <c r="C2" s="2">
        <v>40909</v>
      </c>
    </row>
    <row r="3" spans="1:10" x14ac:dyDescent="0.25">
      <c r="A3" t="s">
        <v>5</v>
      </c>
      <c r="C3" s="1" t="s">
        <v>4</v>
      </c>
    </row>
    <row r="4" spans="1:10" x14ac:dyDescent="0.25">
      <c r="A4" t="s">
        <v>12</v>
      </c>
      <c r="C4" s="2">
        <v>43572</v>
      </c>
    </row>
    <row r="5" spans="1:10" x14ac:dyDescent="0.25">
      <c r="A5" t="s">
        <v>6</v>
      </c>
    </row>
    <row r="6" spans="1:10" x14ac:dyDescent="0.25">
      <c r="A6" t="s">
        <v>7</v>
      </c>
    </row>
    <row r="7" spans="1:10" x14ac:dyDescent="0.25">
      <c r="A7" t="s">
        <v>9</v>
      </c>
    </row>
    <row r="8" spans="1:10" x14ac:dyDescent="0.25">
      <c r="A8" t="s">
        <v>11</v>
      </c>
      <c r="E8" s="4" t="s">
        <v>35</v>
      </c>
    </row>
    <row r="9" spans="1:10" x14ac:dyDescent="0.25">
      <c r="A9" t="s">
        <v>10</v>
      </c>
      <c r="E9" s="4" t="s">
        <v>36</v>
      </c>
    </row>
    <row r="10" spans="1:10" x14ac:dyDescent="0.25">
      <c r="A10" s="4" t="s">
        <v>13</v>
      </c>
      <c r="E10" s="4" t="s">
        <v>39</v>
      </c>
    </row>
    <row r="11" spans="1:10" x14ac:dyDescent="0.25">
      <c r="A11" t="s">
        <v>8</v>
      </c>
    </row>
    <row r="12" spans="1:10" x14ac:dyDescent="0.25">
      <c r="E12" t="s">
        <v>37</v>
      </c>
      <c r="J12" s="3"/>
    </row>
    <row r="13" spans="1:10" x14ac:dyDescent="0.25">
      <c r="J13" s="3"/>
    </row>
    <row r="14" spans="1:10" x14ac:dyDescent="0.25">
      <c r="E14" s="7" t="s">
        <v>34</v>
      </c>
      <c r="J14" s="3"/>
    </row>
    <row r="15" spans="1:10" x14ac:dyDescent="0.25">
      <c r="J15" s="3"/>
    </row>
    <row r="16" spans="1:10" x14ac:dyDescent="0.25">
      <c r="E16" s="4" t="s">
        <v>40</v>
      </c>
      <c r="J16" s="3"/>
    </row>
    <row r="17" spans="5:10" x14ac:dyDescent="0.25">
      <c r="E17" t="s">
        <v>38</v>
      </c>
      <c r="J17" s="3"/>
    </row>
    <row r="18" spans="5:10" x14ac:dyDescent="0.25">
      <c r="J18" s="3"/>
    </row>
    <row r="19" spans="5:10" x14ac:dyDescent="0.25">
      <c r="J19" s="3"/>
    </row>
    <row r="20" spans="5:10" x14ac:dyDescent="0.25">
      <c r="J20" s="3"/>
    </row>
    <row r="21" spans="5:10" x14ac:dyDescent="0.25">
      <c r="J21" s="3"/>
    </row>
    <row r="22" spans="5:10" x14ac:dyDescent="0.25">
      <c r="J22" s="3"/>
    </row>
    <row r="23" spans="5:10" x14ac:dyDescent="0.25">
      <c r="J23" s="3"/>
    </row>
    <row r="24" spans="5:10" x14ac:dyDescent="0.25">
      <c r="J24" s="3"/>
    </row>
    <row r="25" spans="5:10" x14ac:dyDescent="0.25">
      <c r="J25" s="3"/>
    </row>
    <row r="26" spans="5:10" x14ac:dyDescent="0.25">
      <c r="J26" s="3"/>
    </row>
    <row r="27" spans="5:10" x14ac:dyDescent="0.25">
      <c r="J27" s="3"/>
    </row>
    <row r="28" spans="5:10" x14ac:dyDescent="0.25">
      <c r="J28" s="3"/>
    </row>
    <row r="29" spans="5:10" x14ac:dyDescent="0.25">
      <c r="J29" s="3"/>
    </row>
    <row r="30" spans="5:10" x14ac:dyDescent="0.25">
      <c r="J30" s="3"/>
    </row>
    <row r="31" spans="5:10" x14ac:dyDescent="0.25">
      <c r="J31" s="3"/>
    </row>
    <row r="32" spans="5:10" x14ac:dyDescent="0.25">
      <c r="J32" s="3"/>
    </row>
    <row r="33" spans="10:10" x14ac:dyDescent="0.25">
      <c r="J33" s="3"/>
    </row>
    <row r="34" spans="10:10" x14ac:dyDescent="0.25">
      <c r="J34" s="3"/>
    </row>
    <row r="35" spans="10:10" x14ac:dyDescent="0.25">
      <c r="J35" s="3"/>
    </row>
  </sheetData>
  <phoneticPr fontId="1" type="noConversion"/>
  <hyperlinks>
    <hyperlink ref="E14" r:id="rId1" xr:uid="{BF016F5A-A39E-4C18-B884-718C9B87B726}"/>
  </hyperlinks>
  <pageMargins left="0.75" right="0.75" top="1" bottom="1" header="0.5" footer="0.5"/>
  <pageSetup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showTickerFrom">
                <anchor moveWithCells="1" sizeWithCells="1">
                  <from>
                    <xdr:col>1</xdr:col>
                    <xdr:colOff>22860</xdr:colOff>
                    <xdr:row>4</xdr:row>
                    <xdr:rowOff>114300</xdr:rowOff>
                  </from>
                  <to>
                    <xdr:col>2</xdr:col>
                    <xdr:colOff>388620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411480</xdr:colOff>
                    <xdr:row>3</xdr:row>
                    <xdr:rowOff>160020</xdr:rowOff>
                  </from>
                  <to>
                    <xdr:col>5</xdr:col>
                    <xdr:colOff>144780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7" name="Button 3">
              <controlPr defaultSize="0" print="0" autoFill="0" autoPict="0" macro="[0]!getTickerData">
                <anchor moveWithCells="1" sizeWithCells="1">
                  <from>
                    <xdr:col>3</xdr:col>
                    <xdr:colOff>411480</xdr:colOff>
                    <xdr:row>2</xdr:row>
                    <xdr:rowOff>22860</xdr:rowOff>
                  </from>
                  <to>
                    <xdr:col>5</xdr:col>
                    <xdr:colOff>144780</xdr:colOff>
                    <xdr:row>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CA9FE-4430-4149-84E4-BAD53ADF338E}">
  <sheetPr codeName="Sheet5"/>
  <dimension ref="A1:J87"/>
  <sheetViews>
    <sheetView workbookViewId="0"/>
  </sheetViews>
  <sheetFormatPr defaultRowHeight="13.2" x14ac:dyDescent="0.25"/>
  <sheetData>
    <row r="1" spans="1:10" x14ac:dyDescent="0.25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9</v>
      </c>
      <c r="G1" t="s">
        <v>11</v>
      </c>
      <c r="H1" t="s">
        <v>10</v>
      </c>
      <c r="I1" t="s">
        <v>13</v>
      </c>
      <c r="J1" t="s">
        <v>8</v>
      </c>
    </row>
    <row r="2" spans="1:10" x14ac:dyDescent="0.25">
      <c r="A2">
        <v>1.447934888105222E-2</v>
      </c>
      <c r="B2">
        <v>9.7025700259890171E-2</v>
      </c>
      <c r="C2">
        <v>1.1402508551881171E-3</v>
      </c>
      <c r="D2">
        <v>2.1501484109172513E-2</v>
      </c>
      <c r="E2">
        <v>3.0308752350710615E-2</v>
      </c>
      <c r="F2">
        <v>5.2753726680353448E-2</v>
      </c>
      <c r="G2">
        <v>-3.7498073069215411E-2</v>
      </c>
      <c r="H2">
        <v>0.10697631891743611</v>
      </c>
      <c r="I2">
        <v>2.2396558269011716E-2</v>
      </c>
      <c r="J2">
        <v>-7.0922061976711345E-2</v>
      </c>
    </row>
    <row r="3" spans="1:10" x14ac:dyDescent="0.25">
      <c r="A3">
        <v>4.9074826847610387E-2</v>
      </c>
      <c r="B3">
        <v>4.4771616484643798E-2</v>
      </c>
      <c r="C3">
        <v>-3.4090909090910382E-3</v>
      </c>
      <c r="D3">
        <v>3.9712767398798539E-2</v>
      </c>
      <c r="E3">
        <v>3.782625040993777E-2</v>
      </c>
      <c r="F3">
        <v>7.7381433226008767E-2</v>
      </c>
      <c r="G3">
        <v>6.2963418131170443E-2</v>
      </c>
      <c r="H3">
        <v>2.1927955807712736E-2</v>
      </c>
      <c r="I3">
        <v>9.0419403753206312E-2</v>
      </c>
      <c r="J3">
        <v>-1.2684130170488351E-2</v>
      </c>
    </row>
    <row r="4" spans="1:10" x14ac:dyDescent="0.25">
      <c r="A4">
        <v>8.1920903954802129E-2</v>
      </c>
      <c r="B4">
        <v>5.5153462976356461E-2</v>
      </c>
      <c r="C4">
        <v>0.17013496443055653</v>
      </c>
      <c r="D4">
        <v>0.18254637249133721</v>
      </c>
      <c r="E4">
        <v>0.11688178262976753</v>
      </c>
      <c r="F4">
        <v>2.8158179398392973E-2</v>
      </c>
      <c r="G4">
        <v>0.34213022143416777</v>
      </c>
      <c r="H4">
        <v>5.3605577189166337E-2</v>
      </c>
      <c r="I4">
        <v>7.4644326648626594E-2</v>
      </c>
      <c r="J4">
        <v>0.22117083970816415</v>
      </c>
    </row>
    <row r="5" spans="1:10" x14ac:dyDescent="0.25">
      <c r="A5">
        <v>-0.15097474434222813</v>
      </c>
      <c r="B5">
        <v>-0.11669833757267942</v>
      </c>
      <c r="C5">
        <v>-0.18703449468688854</v>
      </c>
      <c r="D5">
        <v>-8.5298097575194076E-2</v>
      </c>
      <c r="E5">
        <v>-7.4034933883716458E-2</v>
      </c>
      <c r="F5">
        <v>-8.4047601796840982E-2</v>
      </c>
      <c r="G5">
        <v>1.0654849554079929E-2</v>
      </c>
      <c r="H5">
        <v>-0.11920602156243783</v>
      </c>
      <c r="I5">
        <v>-0.14226393737639667</v>
      </c>
      <c r="J5">
        <v>-0.14629446430972901</v>
      </c>
    </row>
    <row r="6" spans="1:10" x14ac:dyDescent="0.25">
      <c r="A6">
        <v>9.2864661145220878E-2</v>
      </c>
      <c r="B6">
        <v>-0.18118757946106692</v>
      </c>
      <c r="C6">
        <v>-1.4656540587752741E-2</v>
      </c>
      <c r="D6">
        <v>9.0282703234837905E-2</v>
      </c>
      <c r="E6">
        <v>-1.6393578011958578E-3</v>
      </c>
      <c r="F6">
        <v>4.2748377080236571E-2</v>
      </c>
      <c r="G6">
        <v>-0.25742461909821446</v>
      </c>
      <c r="H6">
        <v>1.4006544300642194E-2</v>
      </c>
      <c r="I6">
        <v>7.8587048198176628E-3</v>
      </c>
      <c r="J6">
        <v>0.11221913968536269</v>
      </c>
    </row>
    <row r="7" spans="1:10" x14ac:dyDescent="0.25">
      <c r="A7">
        <v>-3.1816312555856568E-2</v>
      </c>
      <c r="B7">
        <v>-3.0477318913822177E-2</v>
      </c>
      <c r="C7">
        <v>5.0838920540401199E-2</v>
      </c>
      <c r="D7">
        <v>-0.2366245286151365</v>
      </c>
      <c r="E7">
        <v>-4.8934131360258974E-2</v>
      </c>
      <c r="F7">
        <v>-6.6100920586819073E-2</v>
      </c>
      <c r="G7">
        <v>-0.10540498140509205</v>
      </c>
      <c r="H7">
        <v>-2.6609518095644814E-2</v>
      </c>
      <c r="I7">
        <v>-6.2809407055652092E-2</v>
      </c>
      <c r="J7">
        <v>-0.21377101681345076</v>
      </c>
    </row>
    <row r="8" spans="1:10" x14ac:dyDescent="0.25">
      <c r="A8">
        <v>4.8116334264422002E-3</v>
      </c>
      <c r="B8">
        <v>-8.3030723227086115E-3</v>
      </c>
      <c r="C8">
        <v>-2.4256787750376717E-2</v>
      </c>
      <c r="D8">
        <v>3.2290716480220388E-2</v>
      </c>
      <c r="E8">
        <v>6.1341369630051094E-2</v>
      </c>
      <c r="F8">
        <v>1.8160625995628704E-2</v>
      </c>
      <c r="G8">
        <v>-0.11925061974234974</v>
      </c>
      <c r="H8">
        <v>7.5066115609836786E-3</v>
      </c>
      <c r="I8">
        <v>6.0496692791406348E-2</v>
      </c>
      <c r="J8">
        <v>1.8760195758564385E-2</v>
      </c>
    </row>
    <row r="9" spans="1:10" x14ac:dyDescent="0.25">
      <c r="A9">
        <v>6.4911321498693053E-2</v>
      </c>
      <c r="B9">
        <v>0.20043495984434129</v>
      </c>
      <c r="C9">
        <v>-5.5779562962122754E-2</v>
      </c>
      <c r="D9">
        <v>2.1656010897328548E-2</v>
      </c>
      <c r="E9">
        <v>1.8877419930223682E-2</v>
      </c>
      <c r="F9">
        <v>6.3048770010595917E-2</v>
      </c>
      <c r="G9">
        <v>-5.0626562548226825E-2</v>
      </c>
      <c r="H9">
        <v>6.8564086285938949E-2</v>
      </c>
      <c r="I9">
        <v>-6.2842124985442544E-3</v>
      </c>
      <c r="J9">
        <v>5.6753578749839662E-2</v>
      </c>
    </row>
    <row r="10" spans="1:10" x14ac:dyDescent="0.25">
      <c r="A10">
        <v>1.9117700366114477E-2</v>
      </c>
      <c r="B10">
        <v>2.7982855597472635E-2</v>
      </c>
      <c r="C10">
        <v>-8.0154807865605415E-2</v>
      </c>
      <c r="D10">
        <v>3.7436913762308753E-2</v>
      </c>
      <c r="E10">
        <v>8.640326290316247E-2</v>
      </c>
      <c r="F10">
        <v>7.5752565716644682E-2</v>
      </c>
      <c r="G10">
        <v>1.4682472219217136E-3</v>
      </c>
      <c r="H10">
        <v>4.6559574085440369E-2</v>
      </c>
      <c r="I10">
        <v>-1.4746694373106432E-2</v>
      </c>
      <c r="J10">
        <v>0.14308201037222651</v>
      </c>
    </row>
    <row r="11" spans="1:10" x14ac:dyDescent="0.25">
      <c r="A11">
        <v>-3.0521393369753176E-3</v>
      </c>
      <c r="B11">
        <v>-9.4180069999138805E-3</v>
      </c>
      <c r="C11">
        <v>-4.1566281490640337E-2</v>
      </c>
      <c r="D11">
        <v>-1.1393447008817132E-2</v>
      </c>
      <c r="E11">
        <v>-5.6934748036001327E-2</v>
      </c>
      <c r="F11">
        <v>-2.3266702388037882E-3</v>
      </c>
      <c r="G11">
        <v>-2.4661209846394996E-2</v>
      </c>
      <c r="H11">
        <v>5.4176974049031164E-2</v>
      </c>
      <c r="I11">
        <v>1.8339895846564196E-2</v>
      </c>
      <c r="J11">
        <v>-7.8443801751119371E-4</v>
      </c>
    </row>
    <row r="12" spans="1:10" x14ac:dyDescent="0.25">
      <c r="A12">
        <v>-4.5563213948737304E-3</v>
      </c>
      <c r="B12">
        <v>0.13514023250342019</v>
      </c>
      <c r="C12">
        <v>2.7587817638265996E-2</v>
      </c>
      <c r="D12">
        <v>-1.4447096421853168E-2</v>
      </c>
      <c r="E12">
        <v>2.2990347614946203E-2</v>
      </c>
      <c r="F12">
        <v>6.1455411875884124E-2</v>
      </c>
      <c r="G12">
        <v>7.1653228543623051E-4</v>
      </c>
      <c r="H12">
        <v>8.4099038816873566E-3</v>
      </c>
      <c r="I12">
        <v>5.5428425115255378E-2</v>
      </c>
      <c r="J12">
        <v>-3.3124886279842593E-2</v>
      </c>
    </row>
    <row r="13" spans="1:10" x14ac:dyDescent="0.25">
      <c r="A13">
        <v>6.2573787267689571E-2</v>
      </c>
      <c r="B13">
        <v>-1.5019527018931432E-2</v>
      </c>
      <c r="C13">
        <v>2.8321100564884946E-2</v>
      </c>
      <c r="D13">
        <v>-5.520428945055051E-2</v>
      </c>
      <c r="E13">
        <v>2.3714127641347219E-3</v>
      </c>
      <c r="F13">
        <v>2.4652426855589889E-2</v>
      </c>
      <c r="G13">
        <v>4.3763383297644488E-2</v>
      </c>
      <c r="H13">
        <v>4.6330023318123879E-2</v>
      </c>
      <c r="I13">
        <v>4.2085587718820212E-2</v>
      </c>
      <c r="J13">
        <v>-7.7688511095330454E-2</v>
      </c>
    </row>
    <row r="14" spans="1:10" x14ac:dyDescent="0.25">
      <c r="A14">
        <v>-4.3380371745192228E-2</v>
      </c>
      <c r="B14">
        <v>-5.8050829102134813E-2</v>
      </c>
      <c r="C14">
        <v>4.4293066605134539E-2</v>
      </c>
      <c r="D14">
        <v>-1.5401570464251451E-2</v>
      </c>
      <c r="E14">
        <v>-9.7099073040836939E-2</v>
      </c>
      <c r="F14">
        <v>-2.666105579169183E-2</v>
      </c>
      <c r="G14">
        <v>-4.4645006016847066E-2</v>
      </c>
      <c r="H14">
        <v>-1.2938532179053759E-2</v>
      </c>
      <c r="I14">
        <v>-1.4918779965541243E-2</v>
      </c>
      <c r="J14">
        <v>-7.5577878875535921E-3</v>
      </c>
    </row>
    <row r="15" spans="1:10" x14ac:dyDescent="0.25">
      <c r="A15">
        <v>-1.9013787865899055E-2</v>
      </c>
      <c r="B15">
        <v>6.813254519430216E-2</v>
      </c>
      <c r="C15">
        <v>-3.2816153853617712E-2</v>
      </c>
      <c r="D15">
        <v>-3.8401392678100693E-2</v>
      </c>
      <c r="E15">
        <v>-1.7834639360445652E-2</v>
      </c>
      <c r="F15">
        <v>-8.4868336862345753E-3</v>
      </c>
      <c r="G15">
        <v>-0.12016940179989417</v>
      </c>
      <c r="H15">
        <v>-1.7814750305456629E-2</v>
      </c>
      <c r="I15">
        <v>-0.1236020372597097</v>
      </c>
      <c r="J15">
        <v>-4.868286093112846E-2</v>
      </c>
    </row>
    <row r="16" spans="1:10" x14ac:dyDescent="0.25">
      <c r="A16">
        <v>4.3800143701528994E-3</v>
      </c>
      <c r="B16">
        <v>-1.063621529511603E-2</v>
      </c>
      <c r="C16">
        <v>-9.9575382679807187E-2</v>
      </c>
      <c r="D16">
        <v>6.700562143661383E-2</v>
      </c>
      <c r="E16">
        <v>9.538638235166641E-2</v>
      </c>
      <c r="F16">
        <v>0.11070885534678333</v>
      </c>
      <c r="G16">
        <v>-7.3355285345498858E-2</v>
      </c>
      <c r="H16">
        <v>4.7012827519831386E-2</v>
      </c>
      <c r="I16">
        <v>4.3759307444319058E-2</v>
      </c>
      <c r="J16">
        <v>-7.1047775748195444E-2</v>
      </c>
    </row>
    <row r="17" spans="1:10" x14ac:dyDescent="0.25">
      <c r="A17">
        <v>1.6374644671989232E-2</v>
      </c>
      <c r="B17">
        <v>-1.5246043609272328E-2</v>
      </c>
      <c r="C17">
        <v>-2.3969110353783945E-3</v>
      </c>
      <c r="D17">
        <v>-3.5718702337277359E-3</v>
      </c>
      <c r="E17">
        <v>-3.6281960516505708E-2</v>
      </c>
      <c r="F17">
        <v>1.6276732369199902E-2</v>
      </c>
      <c r="G17">
        <v>-3.9360292168586122E-2</v>
      </c>
      <c r="H17">
        <v>9.1632844551581723E-3</v>
      </c>
      <c r="I17">
        <v>4.2019196856902469E-3</v>
      </c>
      <c r="J17">
        <v>8.0994218646372657E-2</v>
      </c>
    </row>
    <row r="18" spans="1:10" x14ac:dyDescent="0.25">
      <c r="A18">
        <v>2.2927404578845439E-2</v>
      </c>
      <c r="B18">
        <v>2.0290458515825605E-2</v>
      </c>
      <c r="C18">
        <v>2.0375311277125645E-2</v>
      </c>
      <c r="D18">
        <v>9.3897364771152111E-3</v>
      </c>
      <c r="E18">
        <v>-3.6149938002222319E-2</v>
      </c>
      <c r="F18">
        <v>1.7022931391006472E-2</v>
      </c>
      <c r="G18">
        <v>-9.2757666121567633E-2</v>
      </c>
      <c r="H18">
        <v>0.1483071643504647</v>
      </c>
      <c r="I18">
        <v>8.5573496694736299E-3</v>
      </c>
      <c r="J18">
        <v>0.126437779089971</v>
      </c>
    </row>
    <row r="19" spans="1:10" x14ac:dyDescent="0.25">
      <c r="A19">
        <v>5.9990788449714276E-2</v>
      </c>
      <c r="B19">
        <v>9.680778965437345E-2</v>
      </c>
      <c r="C19">
        <v>3.7767194595193287E-2</v>
      </c>
      <c r="D19">
        <v>6.1897113804883268E-2</v>
      </c>
      <c r="E19">
        <v>5.6889571557128968E-2</v>
      </c>
      <c r="F19">
        <v>0.1166597739178383</v>
      </c>
      <c r="G19">
        <v>-0.1662530354000045</v>
      </c>
      <c r="H19">
        <v>-1.9538594755071872E-2</v>
      </c>
      <c r="I19">
        <v>1.6712423943110764E-2</v>
      </c>
      <c r="J19">
        <v>-3.7870166172052924E-2</v>
      </c>
    </row>
    <row r="20" spans="1:10" x14ac:dyDescent="0.25">
      <c r="A20">
        <v>5.0637890099831183E-2</v>
      </c>
      <c r="B20">
        <v>-6.0244353397941833E-2</v>
      </c>
      <c r="C20">
        <v>8.5227215817466048E-2</v>
      </c>
      <c r="D20">
        <v>1.4332676755114284E-2</v>
      </c>
      <c r="E20">
        <v>-3.9339873288371165E-2</v>
      </c>
      <c r="F20">
        <v>-3.7438575191655983E-3</v>
      </c>
      <c r="G20">
        <v>-5.1904647926030618E-3</v>
      </c>
      <c r="H20">
        <v>4.8169237062714532E-2</v>
      </c>
      <c r="I20">
        <v>7.4019830320175103E-2</v>
      </c>
      <c r="J20">
        <v>7.364808640086673E-2</v>
      </c>
    </row>
    <row r="21" spans="1:10" x14ac:dyDescent="0.25">
      <c r="A21">
        <v>1.0207841182462532E-2</v>
      </c>
      <c r="B21">
        <v>0.10714243783111446</v>
      </c>
      <c r="C21">
        <v>-1.6935968254906071E-2</v>
      </c>
      <c r="D21">
        <v>-9.0076912399269355E-4</v>
      </c>
      <c r="E21">
        <v>8.0096907369409127E-3</v>
      </c>
      <c r="F21">
        <v>3.395118266102639E-2</v>
      </c>
      <c r="G21">
        <v>-4.1389947609274814E-2</v>
      </c>
      <c r="H21">
        <v>-8.0717609904755669E-3</v>
      </c>
      <c r="I21">
        <v>-3.7052925664905458E-2</v>
      </c>
      <c r="J21">
        <v>-5.8511946043732985E-2</v>
      </c>
    </row>
    <row r="22" spans="1:10" x14ac:dyDescent="0.25">
      <c r="A22">
        <v>1.5566000821708717E-2</v>
      </c>
      <c r="B22">
        <v>3.2703871415458365E-2</v>
      </c>
      <c r="C22">
        <v>1.5529068255904688E-2</v>
      </c>
      <c r="D22">
        <v>-5.9546268690237478E-2</v>
      </c>
      <c r="E22">
        <v>-4.3655173549892975E-4</v>
      </c>
      <c r="F22">
        <v>5.4692308959576004E-2</v>
      </c>
      <c r="G22">
        <v>-5.1834513099636194E-2</v>
      </c>
      <c r="H22">
        <v>-8.8790056227541422E-3</v>
      </c>
      <c r="I22">
        <v>-8.5477242398626727E-3</v>
      </c>
      <c r="J22">
        <v>-0.10669494470049103</v>
      </c>
    </row>
    <row r="23" spans="1:10" x14ac:dyDescent="0.25">
      <c r="A23">
        <v>9.4879233779465263E-2</v>
      </c>
      <c r="B23">
        <v>-5.7214132740714893E-2</v>
      </c>
      <c r="C23">
        <v>6.29905413564095E-3</v>
      </c>
      <c r="D23">
        <v>7.8623859635718503E-3</v>
      </c>
      <c r="E23">
        <v>0.10464994608955958</v>
      </c>
      <c r="F23">
        <v>-1.3030033376988333E-2</v>
      </c>
      <c r="G23">
        <v>-5.3337287211874017E-3</v>
      </c>
      <c r="H23">
        <v>-0.11361756650486755</v>
      </c>
      <c r="I23">
        <v>2.8578283703446679E-3</v>
      </c>
      <c r="J23">
        <v>3.6234899294663489E-2</v>
      </c>
    </row>
    <row r="24" spans="1:10" x14ac:dyDescent="0.25">
      <c r="A24">
        <v>-2.9147451661372337E-2</v>
      </c>
      <c r="B24">
        <v>6.7769436442953732E-2</v>
      </c>
      <c r="C24">
        <v>-3.0514691536270271E-2</v>
      </c>
      <c r="D24">
        <v>-3.8454527522904486E-2</v>
      </c>
      <c r="E24">
        <v>9.5624336898959671E-3</v>
      </c>
      <c r="F24">
        <v>2.5890109956766251E-2</v>
      </c>
      <c r="G24">
        <v>-5.5533898273010501E-2</v>
      </c>
      <c r="H24">
        <v>6.0690370112924552E-2</v>
      </c>
      <c r="I24">
        <v>-4.8166016891930726E-3</v>
      </c>
      <c r="J24">
        <v>6.8835692904223658E-2</v>
      </c>
    </row>
    <row r="25" spans="1:10" x14ac:dyDescent="0.25">
      <c r="A25">
        <v>5.8912896250023997E-3</v>
      </c>
      <c r="B25">
        <v>-6.963923287725165E-5</v>
      </c>
      <c r="C25">
        <v>-1.3346972575381212E-3</v>
      </c>
      <c r="D25">
        <v>-7.9533978977841521E-2</v>
      </c>
      <c r="E25">
        <v>1.2198807083118298E-2</v>
      </c>
      <c r="F25">
        <v>3.9478496081312105E-2</v>
      </c>
      <c r="G25">
        <v>-2.7183357879234125E-2</v>
      </c>
      <c r="H25">
        <v>5.8620050925966928E-2</v>
      </c>
      <c r="I25">
        <v>-4.3900023112227278E-3</v>
      </c>
      <c r="J25">
        <v>4.5759835374697196E-2</v>
      </c>
    </row>
    <row r="26" spans="1:10" x14ac:dyDescent="0.25">
      <c r="A26">
        <v>-1.1866265827609173E-2</v>
      </c>
      <c r="B26">
        <v>4.8689902742161985E-2</v>
      </c>
      <c r="C26">
        <v>-7.1027123890201244E-2</v>
      </c>
      <c r="D26">
        <v>-3.1587288691533627E-2</v>
      </c>
      <c r="E26">
        <v>4.7428212482287471E-2</v>
      </c>
      <c r="F26">
        <v>2.9384036982769337E-2</v>
      </c>
      <c r="G26">
        <v>-3.3493932445315111E-4</v>
      </c>
      <c r="H26">
        <v>-5.3561468739249503E-2</v>
      </c>
      <c r="I26">
        <v>8.4855701354814815E-3</v>
      </c>
      <c r="J26">
        <v>-6.8258800098343869E-2</v>
      </c>
    </row>
    <row r="27" spans="1:10" x14ac:dyDescent="0.25">
      <c r="A27">
        <v>4.8181154641464864E-2</v>
      </c>
      <c r="B27">
        <v>0.1337431084122824</v>
      </c>
      <c r="C27">
        <v>1.3753050626640053E-2</v>
      </c>
      <c r="D27">
        <v>3.8557248389932346E-2</v>
      </c>
      <c r="E27">
        <v>6.1831549938083138E-2</v>
      </c>
      <c r="F27">
        <v>-4.38609245204371E-3</v>
      </c>
      <c r="G27">
        <v>1.1730052394234075E-2</v>
      </c>
      <c r="H27">
        <v>8.3583147924066833E-2</v>
      </c>
      <c r="I27">
        <v>-2.1712957413208056E-2</v>
      </c>
      <c r="J27">
        <v>0.10494973263704294</v>
      </c>
    </row>
    <row r="28" spans="1:10" x14ac:dyDescent="0.25">
      <c r="A28">
        <v>3.5374134399277599E-2</v>
      </c>
      <c r="B28">
        <v>4.7745830165899054E-2</v>
      </c>
      <c r="C28">
        <v>3.5375700579462405E-2</v>
      </c>
      <c r="D28">
        <v>5.1388637869751064E-2</v>
      </c>
      <c r="E28">
        <v>4.7229832901961269E-2</v>
      </c>
      <c r="F28">
        <v>4.0391952535421924E-2</v>
      </c>
      <c r="G28">
        <v>-6.0128586978206014E-2</v>
      </c>
      <c r="H28">
        <v>2.3983138125875176E-2</v>
      </c>
      <c r="I28">
        <v>-7.0573930903524623E-2</v>
      </c>
      <c r="J28">
        <v>4.9558567724572601E-2</v>
      </c>
    </row>
    <row r="29" spans="1:10" x14ac:dyDescent="0.25">
      <c r="A29">
        <v>2.8316318071260789E-2</v>
      </c>
      <c r="B29">
        <v>4.7955823059807924E-2</v>
      </c>
      <c r="C29">
        <v>1.4220475171975147E-2</v>
      </c>
      <c r="D29">
        <v>2.3240044384169656E-2</v>
      </c>
      <c r="E29">
        <v>-4.3294248068400557E-2</v>
      </c>
      <c r="F29">
        <v>3.119746260637463E-2</v>
      </c>
      <c r="G29">
        <v>3.5056005564330348E-2</v>
      </c>
      <c r="H29">
        <v>6.661806575476005E-2</v>
      </c>
      <c r="I29">
        <v>3.3906624062183831E-2</v>
      </c>
      <c r="J29">
        <v>7.1540984183085743E-2</v>
      </c>
    </row>
    <row r="30" spans="1:10" x14ac:dyDescent="0.25">
      <c r="A30">
        <v>8.4613532160304331E-2</v>
      </c>
      <c r="B30">
        <v>-2.154741173374268E-2</v>
      </c>
      <c r="C30">
        <v>1.873681111056593E-2</v>
      </c>
      <c r="D30">
        <v>6.5024713705555195E-2</v>
      </c>
      <c r="E30">
        <v>4.6071936598252441E-2</v>
      </c>
      <c r="F30">
        <v>1.2338184153364094E-2</v>
      </c>
      <c r="G30">
        <v>5.7044499841085644E-2</v>
      </c>
      <c r="H30">
        <v>1.8271100795295484E-2</v>
      </c>
      <c r="I30">
        <v>5.6979129445083987E-2</v>
      </c>
      <c r="J30">
        <v>0.16379654357368711</v>
      </c>
    </row>
    <row r="31" spans="1:10" x14ac:dyDescent="0.25">
      <c r="A31">
        <v>4.2321427698245678E-2</v>
      </c>
      <c r="B31">
        <v>4.3342392931119541E-3</v>
      </c>
      <c r="C31">
        <v>-1.5032869296210361E-2</v>
      </c>
      <c r="D31">
        <v>-3.2483392188657083E-2</v>
      </c>
      <c r="E31">
        <v>-1.8104182185804035E-2</v>
      </c>
      <c r="F31">
        <v>4.0277729611532601E-2</v>
      </c>
      <c r="G31">
        <v>-1.755369376215609E-2</v>
      </c>
      <c r="H31">
        <v>-3.0423775006190923E-2</v>
      </c>
      <c r="I31">
        <v>-4.5372023301912763E-2</v>
      </c>
      <c r="J31">
        <v>2.9825975627104109E-2</v>
      </c>
    </row>
    <row r="32" spans="1:10" x14ac:dyDescent="0.25">
      <c r="A32">
        <v>-2.3483422015588774E-2</v>
      </c>
      <c r="B32">
        <v>6.5504964564062421E-2</v>
      </c>
      <c r="C32">
        <v>-4.206256598321944E-2</v>
      </c>
      <c r="D32">
        <v>-1.8912958517125337E-4</v>
      </c>
      <c r="E32">
        <v>-4.7066130892773318E-2</v>
      </c>
      <c r="F32">
        <v>2.4353203791122129E-3</v>
      </c>
      <c r="G32">
        <v>-4.4525521207764249E-2</v>
      </c>
      <c r="H32">
        <v>-5.9103350998421782E-2</v>
      </c>
      <c r="I32">
        <v>1.6070802641685047E-3</v>
      </c>
      <c r="J32">
        <v>5.450272513625691E-2</v>
      </c>
    </row>
    <row r="33" spans="1:10" x14ac:dyDescent="0.25">
      <c r="A33">
        <v>1.7375308278128006E-2</v>
      </c>
      <c r="B33">
        <v>2.3618045022149366E-2</v>
      </c>
      <c r="C33">
        <v>-4.7375018433860232E-3</v>
      </c>
      <c r="D33">
        <v>-2.2866469289021855E-3</v>
      </c>
      <c r="E33">
        <v>4.3873274224515025E-3</v>
      </c>
      <c r="F33">
        <v>2.0115237521068086E-2</v>
      </c>
      <c r="G33">
        <v>3.2094046374093479E-3</v>
      </c>
      <c r="H33">
        <v>-2.8085952084330457E-2</v>
      </c>
      <c r="I33">
        <v>-1.1845307017653527E-2</v>
      </c>
      <c r="J33">
        <v>-7.8553287163619966E-4</v>
      </c>
    </row>
    <row r="34" spans="1:10" x14ac:dyDescent="0.25">
      <c r="A34">
        <v>6.0895453670872138E-2</v>
      </c>
      <c r="B34">
        <v>9.006197577907725E-2</v>
      </c>
      <c r="C34">
        <v>1.8063075320678308E-2</v>
      </c>
      <c r="D34">
        <v>5.8242368777457025E-2</v>
      </c>
      <c r="E34">
        <v>6.1229927343901397E-3</v>
      </c>
      <c r="F34">
        <v>0.10768069798213697</v>
      </c>
      <c r="G34">
        <v>-1.0801247066041627E-2</v>
      </c>
      <c r="H34">
        <v>6.4824403452638263E-2</v>
      </c>
      <c r="I34">
        <v>-5.1099203599464668E-2</v>
      </c>
      <c r="J34">
        <v>-5.6107210228463655E-2</v>
      </c>
    </row>
    <row r="35" spans="1:10" x14ac:dyDescent="0.25">
      <c r="A35">
        <v>-7.1540223431608346E-2</v>
      </c>
      <c r="B35">
        <v>-4.2659244932937143E-2</v>
      </c>
      <c r="C35">
        <v>-6.819910641683638E-2</v>
      </c>
      <c r="D35">
        <v>-1.2748727491494164E-2</v>
      </c>
      <c r="E35">
        <v>1.8407052862551124E-2</v>
      </c>
      <c r="F35">
        <v>-3.4528462327686991E-2</v>
      </c>
      <c r="G35">
        <v>4.9169161676646728E-2</v>
      </c>
      <c r="H35">
        <v>5.558932559194317E-2</v>
      </c>
      <c r="I35">
        <v>5.3021405474563826E-2</v>
      </c>
      <c r="J35">
        <v>-7.4766740278723834E-2</v>
      </c>
    </row>
    <row r="36" spans="1:10" x14ac:dyDescent="0.25">
      <c r="A36">
        <v>5.0432669340591827E-3</v>
      </c>
      <c r="B36">
        <v>7.1799337115892398E-2</v>
      </c>
      <c r="C36">
        <v>-5.166789892576012E-3</v>
      </c>
      <c r="D36">
        <v>6.3459583573801381E-2</v>
      </c>
      <c r="E36">
        <v>8.5307932164142147E-3</v>
      </c>
      <c r="F36">
        <v>7.0337737364759803E-2</v>
      </c>
      <c r="G36">
        <v>-1.6913358131252425E-2</v>
      </c>
      <c r="H36">
        <v>4.3204802786658732E-3</v>
      </c>
      <c r="I36">
        <v>1.5517823292214683E-2</v>
      </c>
      <c r="J36">
        <v>-4.7748425698509726E-2</v>
      </c>
    </row>
    <row r="37" spans="1:10" x14ac:dyDescent="0.25">
      <c r="A37">
        <v>7.079626269613902E-2</v>
      </c>
      <c r="B37">
        <v>-0.13992116709040087</v>
      </c>
      <c r="C37">
        <v>1.5475254608569551E-2</v>
      </c>
      <c r="D37">
        <v>-3.6381568500865914E-2</v>
      </c>
      <c r="E37">
        <v>-2.2050725159802678E-2</v>
      </c>
      <c r="F37">
        <v>-9.7048008920406978E-2</v>
      </c>
      <c r="G37">
        <v>-3.27130243532665E-2</v>
      </c>
      <c r="H37">
        <v>-5.7182906645837563E-2</v>
      </c>
      <c r="I37">
        <v>5.7543724052053026E-2</v>
      </c>
      <c r="J37">
        <v>-4.2408626075443661E-3</v>
      </c>
    </row>
    <row r="38" spans="1:10" x14ac:dyDescent="0.25">
      <c r="A38">
        <v>0.10471442468696604</v>
      </c>
      <c r="B38">
        <v>0.12721063982746234</v>
      </c>
      <c r="C38">
        <v>7.9144028214660295E-2</v>
      </c>
      <c r="D38">
        <v>0.1558424101530558</v>
      </c>
      <c r="E38">
        <v>0.11228973045999542</v>
      </c>
      <c r="F38">
        <v>8.5495304009130121E-2</v>
      </c>
      <c r="G38">
        <v>9.0939797954699059E-2</v>
      </c>
      <c r="H38">
        <v>5.032331906001182E-2</v>
      </c>
      <c r="I38">
        <v>4.2919337842319674E-2</v>
      </c>
      <c r="J38">
        <v>6.9822627803638862E-2</v>
      </c>
    </row>
    <row r="39" spans="1:10" x14ac:dyDescent="0.25">
      <c r="A39">
        <v>3.8878732240092702E-2</v>
      </c>
      <c r="B39">
        <v>-1.3303846584783537E-3</v>
      </c>
      <c r="C39">
        <v>4.7737940677119721E-2</v>
      </c>
      <c r="D39">
        <v>6.075288276628573E-2</v>
      </c>
      <c r="E39">
        <v>1.2942544265298875E-2</v>
      </c>
      <c r="F39">
        <v>-6.991215939855483E-2</v>
      </c>
      <c r="G39">
        <v>9.2553408253789205E-3</v>
      </c>
      <c r="H39">
        <v>-4.5303039929640082E-3</v>
      </c>
      <c r="I39">
        <v>3.8928580775169593E-2</v>
      </c>
      <c r="J39">
        <v>0.11509964791435867</v>
      </c>
    </row>
    <row r="40" spans="1:10" x14ac:dyDescent="0.25">
      <c r="A40">
        <v>-0.22730649325344646</v>
      </c>
      <c r="B40">
        <v>-7.5242435216481648E-2</v>
      </c>
      <c r="C40">
        <v>-0.1239873318052177</v>
      </c>
      <c r="D40">
        <v>-9.3227601456686418E-2</v>
      </c>
      <c r="E40">
        <v>-1.8521251689340745E-3</v>
      </c>
      <c r="F40">
        <v>-7.0300639184627629E-3</v>
      </c>
      <c r="G40">
        <v>-6.581302643283081E-2</v>
      </c>
      <c r="H40">
        <v>-6.427233041973808E-2</v>
      </c>
      <c r="I40">
        <v>-1.2821611166854295E-3</v>
      </c>
      <c r="J40">
        <v>-0.12633588792077022</v>
      </c>
    </row>
    <row r="41" spans="1:10" x14ac:dyDescent="0.25">
      <c r="A41">
        <v>-2.9173791026336257E-2</v>
      </c>
      <c r="B41">
        <v>-0.11022797454418515</v>
      </c>
      <c r="C41">
        <v>-1.6748531170160688E-2</v>
      </c>
      <c r="D41">
        <v>-1.291032474199399E-2</v>
      </c>
      <c r="E41">
        <v>-6.2610375201082924E-2</v>
      </c>
      <c r="F41">
        <v>2.0790312200168214E-2</v>
      </c>
      <c r="G41">
        <v>4.8248525568955813E-2</v>
      </c>
      <c r="H41">
        <v>4.9523346147481732E-4</v>
      </c>
      <c r="I41">
        <v>-4.5432935204911151E-2</v>
      </c>
      <c r="J41">
        <v>-5.9900994558754653E-2</v>
      </c>
    </row>
    <row r="42" spans="1:10" x14ac:dyDescent="0.25">
      <c r="A42">
        <v>-2.2113643490840044E-2</v>
      </c>
      <c r="B42">
        <v>-5.7851923636528212E-3</v>
      </c>
      <c r="C42">
        <v>-3.2411376443072022E-2</v>
      </c>
      <c r="D42">
        <v>4.6469921533720841E-3</v>
      </c>
      <c r="E42">
        <v>3.3451279259662857E-3</v>
      </c>
      <c r="F42">
        <v>3.9502549842494662E-2</v>
      </c>
      <c r="G42">
        <v>3.5271918325189763E-2</v>
      </c>
      <c r="H42">
        <v>2.3481192063127154E-2</v>
      </c>
      <c r="I42">
        <v>-4.2605990509919558E-3</v>
      </c>
      <c r="J42">
        <v>-8.8574591949712247E-3</v>
      </c>
    </row>
    <row r="43" spans="1:10" x14ac:dyDescent="0.25">
      <c r="A43">
        <v>-8.0221684798734601E-3</v>
      </c>
      <c r="B43">
        <v>8.3409739716954076E-2</v>
      </c>
      <c r="C43">
        <v>0.10231026130358191</v>
      </c>
      <c r="D43">
        <v>-3.3730842599990117E-2</v>
      </c>
      <c r="E43">
        <v>7.953727400677589E-2</v>
      </c>
      <c r="F43">
        <v>0.18933543562307165</v>
      </c>
      <c r="G43">
        <v>0.14670833257411478</v>
      </c>
      <c r="H43">
        <v>9.3726433727151864E-2</v>
      </c>
      <c r="I43">
        <v>0.11284396906044752</v>
      </c>
      <c r="J43">
        <v>0.21687496434809292</v>
      </c>
    </row>
    <row r="44" spans="1:10" x14ac:dyDescent="0.25">
      <c r="A44">
        <v>-3.3759084908835849E-2</v>
      </c>
      <c r="B44">
        <v>-2.1816381383505428E-2</v>
      </c>
      <c r="C44">
        <v>-2.1624581466952709E-2</v>
      </c>
      <c r="D44">
        <v>-1.9744094365591887E-2</v>
      </c>
      <c r="E44">
        <v>-2.6151028700603918E-2</v>
      </c>
      <c r="F44">
        <v>1.7003341094469129E-2</v>
      </c>
      <c r="G44">
        <v>2.5333956095282609E-2</v>
      </c>
      <c r="H44">
        <v>3.2274406984511936E-2</v>
      </c>
      <c r="I44">
        <v>-1.1827844381811742E-2</v>
      </c>
      <c r="J44">
        <v>3.6514497119721621E-2</v>
      </c>
    </row>
    <row r="45" spans="1:10" x14ac:dyDescent="0.25">
      <c r="A45">
        <v>8.6764683280961801E-3</v>
      </c>
      <c r="B45">
        <v>-6.6205324747606473E-2</v>
      </c>
      <c r="C45">
        <v>-6.473739001947737E-2</v>
      </c>
      <c r="D45">
        <v>-7.9450279883703692E-2</v>
      </c>
      <c r="E45">
        <v>-7.1356255131894628E-2</v>
      </c>
      <c r="F45">
        <v>-6.1981643002500662E-2</v>
      </c>
      <c r="G45">
        <v>-4.9040379140183221E-2</v>
      </c>
      <c r="H45">
        <v>-3.3500354917756901E-2</v>
      </c>
      <c r="I45">
        <v>-4.1172301687668542E-2</v>
      </c>
      <c r="J45">
        <v>1.5702793673126884E-2</v>
      </c>
    </row>
    <row r="46" spans="1:10" x14ac:dyDescent="0.25">
      <c r="A46">
        <v>-2.1357792244195282E-2</v>
      </c>
      <c r="B46">
        <v>-3.2888640575602271E-2</v>
      </c>
      <c r="C46">
        <v>-2.2449321494388916E-3</v>
      </c>
      <c r="D46">
        <v>-4.1186949211089114E-3</v>
      </c>
      <c r="E46">
        <v>-5.2312702549813933E-3</v>
      </c>
      <c r="F46">
        <v>5.7756673751511639E-2</v>
      </c>
      <c r="G46">
        <v>-1.7692280842597601E-2</v>
      </c>
      <c r="H46">
        <v>7.5817715639802941E-2</v>
      </c>
      <c r="I46">
        <v>-4.7956773232655577E-2</v>
      </c>
      <c r="J46">
        <v>9.3986691319323898E-2</v>
      </c>
    </row>
    <row r="47" spans="1:10" x14ac:dyDescent="0.25">
      <c r="A47">
        <v>-2.1450906565727533E-2</v>
      </c>
      <c r="B47">
        <v>-3.7265710774004104E-2</v>
      </c>
      <c r="C47">
        <v>-1.0550918750466209E-2</v>
      </c>
      <c r="D47">
        <v>-4.1202694703996533E-2</v>
      </c>
      <c r="E47">
        <v>-7.3350202206017484E-2</v>
      </c>
      <c r="F47">
        <v>-5.7832158420620304E-2</v>
      </c>
      <c r="G47">
        <v>-1.748158817527893E-2</v>
      </c>
      <c r="H47">
        <v>-5.2808877665885795E-2</v>
      </c>
      <c r="I47">
        <v>-2.347370201251479E-2</v>
      </c>
      <c r="J47">
        <v>-0.10511330231308068</v>
      </c>
    </row>
    <row r="48" spans="1:10" x14ac:dyDescent="0.25">
      <c r="A48">
        <v>2.9310052761400401E-2</v>
      </c>
      <c r="B48">
        <v>4.5312266976136606E-2</v>
      </c>
      <c r="C48">
        <v>-3.9868537278275981E-2</v>
      </c>
      <c r="D48">
        <v>-2.0029802269726678E-3</v>
      </c>
      <c r="E48">
        <v>-2.979483084106897E-3</v>
      </c>
      <c r="F48">
        <v>-3.0317621752004833E-2</v>
      </c>
      <c r="G48">
        <v>7.019270617488655E-3</v>
      </c>
      <c r="H48">
        <v>-3.215312194607964E-3</v>
      </c>
      <c r="I48">
        <v>-1.6634558584831989E-2</v>
      </c>
      <c r="J48">
        <v>-8.6539223834793094E-2</v>
      </c>
    </row>
    <row r="49" spans="1:10" x14ac:dyDescent="0.25">
      <c r="A49">
        <v>-8.5775026932703984E-3</v>
      </c>
      <c r="B49">
        <v>5.7861370638630123E-3</v>
      </c>
      <c r="C49">
        <v>-1.1904668296940535E-2</v>
      </c>
      <c r="D49">
        <v>6.7227276603281177E-2</v>
      </c>
      <c r="E49">
        <v>1.4448697461815698E-2</v>
      </c>
      <c r="F49">
        <v>0.19640669880932179</v>
      </c>
      <c r="G49">
        <v>9.1495076096687597E-2</v>
      </c>
      <c r="H49">
        <v>-5.3129515847326281E-2</v>
      </c>
      <c r="I49">
        <v>2.7882812596155264E-2</v>
      </c>
      <c r="J49">
        <v>-8.4424266122819849E-2</v>
      </c>
    </row>
    <row r="50" spans="1:10" x14ac:dyDescent="0.25">
      <c r="A50">
        <v>-3.9342843089030917E-2</v>
      </c>
      <c r="B50">
        <v>-3.1371494609146337E-2</v>
      </c>
      <c r="C50">
        <v>-1.2240491483693479E-2</v>
      </c>
      <c r="D50">
        <v>-8.8920222452249474E-3</v>
      </c>
      <c r="E50">
        <v>-1.5289020302413737E-2</v>
      </c>
      <c r="F50">
        <v>-7.2861913533102701E-2</v>
      </c>
      <c r="G50">
        <v>-4.5402205789748275E-2</v>
      </c>
      <c r="H50">
        <v>3.0858158589578012E-2</v>
      </c>
      <c r="I50">
        <v>-3.9981987493649021E-2</v>
      </c>
      <c r="J50">
        <v>2.5914440069854671E-2</v>
      </c>
    </row>
    <row r="51" spans="1:10" x14ac:dyDescent="0.25">
      <c r="A51">
        <v>1.1154363929360036E-2</v>
      </c>
      <c r="B51">
        <v>0.10074588110940044</v>
      </c>
      <c r="C51">
        <v>0.11081106730279787</v>
      </c>
      <c r="D51">
        <v>6.3705362219510772E-2</v>
      </c>
      <c r="E51">
        <v>4.607131828842239E-2</v>
      </c>
      <c r="F51">
        <v>9.3118999484354661E-2</v>
      </c>
      <c r="G51">
        <v>9.7907139823603093E-2</v>
      </c>
      <c r="H51">
        <v>6.4789833329130894E-2</v>
      </c>
      <c r="I51">
        <v>2.0449366249167832E-2</v>
      </c>
      <c r="J51">
        <v>-4.2940793754066418E-2</v>
      </c>
    </row>
    <row r="52" spans="1:10" x14ac:dyDescent="0.25">
      <c r="A52">
        <v>-0.13024143265345201</v>
      </c>
      <c r="B52">
        <v>6.1424526884510798E-2</v>
      </c>
      <c r="C52">
        <v>-4.1123428193249476E-2</v>
      </c>
      <c r="D52">
        <v>-4.4440398119241872E-2</v>
      </c>
      <c r="E52">
        <v>-6.5925316742351081E-2</v>
      </c>
      <c r="F52">
        <v>-0.13024773385221397</v>
      </c>
      <c r="G52">
        <v>-5.4609117859893967E-2</v>
      </c>
      <c r="H52">
        <v>8.7474355825489791E-3</v>
      </c>
      <c r="I52">
        <v>-5.440746310064784E-2</v>
      </c>
      <c r="J52">
        <v>6.7581166121795877E-2</v>
      </c>
    </row>
    <row r="53" spans="1:10" x14ac:dyDescent="0.25">
      <c r="A53">
        <v>6.7077695621020764E-3</v>
      </c>
      <c r="B53">
        <v>-7.1890808765939507E-2</v>
      </c>
      <c r="C53">
        <v>-1.4624125731613962E-2</v>
      </c>
      <c r="D53">
        <v>-1.0667615803122046E-2</v>
      </c>
      <c r="E53">
        <v>6.0362869795563504E-2</v>
      </c>
      <c r="F53">
        <v>-2.8446671999889303E-2</v>
      </c>
      <c r="G53">
        <v>-3.7330169302609899E-2</v>
      </c>
      <c r="H53">
        <v>-2.6035245887993108E-3</v>
      </c>
      <c r="I53">
        <v>2.1095141572097804E-2</v>
      </c>
      <c r="J53">
        <v>1.344675770464885E-2</v>
      </c>
    </row>
    <row r="54" spans="1:10" x14ac:dyDescent="0.25">
      <c r="A54">
        <v>2.7460483941213053E-2</v>
      </c>
      <c r="B54">
        <v>0.10596488065732364</v>
      </c>
      <c r="C54">
        <v>0.11639547158822029</v>
      </c>
      <c r="D54">
        <v>-6.8440033271364494E-3</v>
      </c>
      <c r="E54">
        <v>8.6043702646316014E-2</v>
      </c>
      <c r="F54">
        <v>2.4795399561503031E-2</v>
      </c>
      <c r="G54">
        <v>2.6348200323817218E-2</v>
      </c>
      <c r="H54">
        <v>6.8370197332646751E-2</v>
      </c>
      <c r="I54">
        <v>-5.7111041183372541E-2</v>
      </c>
      <c r="J54">
        <v>0.21287726115341463</v>
      </c>
    </row>
    <row r="55" spans="1:10" x14ac:dyDescent="0.25">
      <c r="A55">
        <v>3.0643453494335029E-2</v>
      </c>
      <c r="B55">
        <v>7.1959938168233831E-2</v>
      </c>
      <c r="C55">
        <v>-3.8769726022603937E-2</v>
      </c>
      <c r="D55">
        <v>-0.13396197416462352</v>
      </c>
      <c r="E55">
        <v>2.3246929809777328E-2</v>
      </c>
      <c r="F55">
        <v>1.2726554929476374E-2</v>
      </c>
      <c r="G55">
        <v>7.416598123544795E-3</v>
      </c>
      <c r="H55">
        <v>6.4235647891081868E-2</v>
      </c>
      <c r="I55">
        <v>2.8282683863782569E-2</v>
      </c>
      <c r="J55">
        <v>2.102309305914489E-2</v>
      </c>
    </row>
    <row r="56" spans="1:10" x14ac:dyDescent="0.25">
      <c r="A56">
        <v>-2.244569202841936E-2</v>
      </c>
      <c r="B56">
        <v>-1.7073229922521006E-2</v>
      </c>
      <c r="C56">
        <v>-0.15048377747722311</v>
      </c>
      <c r="D56">
        <v>-1.2844889951604342E-2</v>
      </c>
      <c r="E56">
        <v>-7.8256681916686749E-2</v>
      </c>
      <c r="F56">
        <v>2.0470699114417634E-2</v>
      </c>
      <c r="G56">
        <v>-5.5822292872953049E-3</v>
      </c>
      <c r="H56">
        <v>3.5017959602556319E-2</v>
      </c>
      <c r="I56">
        <v>-5.439345926509237E-2</v>
      </c>
      <c r="J56">
        <v>5.4984515294599363E-2</v>
      </c>
    </row>
    <row r="57" spans="1:10" x14ac:dyDescent="0.25">
      <c r="A57">
        <v>1.761369753080385E-2</v>
      </c>
      <c r="B57">
        <v>7.7509817341734566E-2</v>
      </c>
      <c r="C57">
        <v>2.2911092191680797E-2</v>
      </c>
      <c r="D57">
        <v>9.2212910678896847E-3</v>
      </c>
      <c r="E57">
        <v>2.8224808120822033E-2</v>
      </c>
      <c r="F57">
        <v>5.9096269019518588E-2</v>
      </c>
      <c r="G57">
        <v>3.3004434642722534E-2</v>
      </c>
      <c r="H57">
        <v>3.0117865051051868E-2</v>
      </c>
      <c r="I57">
        <v>1.228123671933725E-2</v>
      </c>
      <c r="J57">
        <v>0.13410310463779226</v>
      </c>
    </row>
    <row r="58" spans="1:10" x14ac:dyDescent="0.25">
      <c r="A58">
        <v>-6.9869691273457157E-2</v>
      </c>
      <c r="B58">
        <v>2.873096054858405E-2</v>
      </c>
      <c r="C58">
        <v>-5.6913948830353044E-3</v>
      </c>
      <c r="D58">
        <v>5.7373375463083937E-2</v>
      </c>
      <c r="E58">
        <v>-5.2950035388716601E-4</v>
      </c>
      <c r="F58">
        <v>3.501085307004053E-2</v>
      </c>
      <c r="G58">
        <v>-4.3001370488807755E-2</v>
      </c>
      <c r="H58">
        <v>2.3739059253195544E-2</v>
      </c>
      <c r="I58">
        <v>-1.7282365946341968E-2</v>
      </c>
      <c r="J58">
        <v>5.2865213882163073E-2</v>
      </c>
    </row>
    <row r="59" spans="1:10" x14ac:dyDescent="0.25">
      <c r="A59">
        <v>3.6831493469338117E-2</v>
      </c>
      <c r="B59">
        <v>2.766272509393192E-2</v>
      </c>
      <c r="C59">
        <v>4.8658117083841858E-2</v>
      </c>
      <c r="D59">
        <v>-1.6760777928913794E-2</v>
      </c>
      <c r="E59">
        <v>-3.545818982553213E-2</v>
      </c>
      <c r="F59">
        <v>1.8565115575341313E-2</v>
      </c>
      <c r="G59">
        <v>-1.1019296192717958E-2</v>
      </c>
      <c r="H59">
        <v>-7.4122975778681908E-3</v>
      </c>
      <c r="I59">
        <v>1.4922657390909885E-3</v>
      </c>
      <c r="J59">
        <v>1.7783728066537861E-2</v>
      </c>
    </row>
    <row r="60" spans="1:10" x14ac:dyDescent="0.25">
      <c r="A60">
        <v>4.6550563948068654E-2</v>
      </c>
      <c r="B60">
        <v>7.8720709063351282E-2</v>
      </c>
      <c r="C60">
        <v>1.7960303372599639E-2</v>
      </c>
      <c r="D60">
        <v>-5.6185443600793472E-2</v>
      </c>
      <c r="E60">
        <v>2.7886596442355083E-2</v>
      </c>
      <c r="F60">
        <v>2.0384490206932546E-2</v>
      </c>
      <c r="G60">
        <v>-3.7224417777697357E-3</v>
      </c>
      <c r="H60">
        <v>6.0324178598868215E-3</v>
      </c>
      <c r="I60">
        <v>-1.1714206979014459E-2</v>
      </c>
      <c r="J60">
        <v>9.4333180627706584E-2</v>
      </c>
    </row>
    <row r="61" spans="1:10" x14ac:dyDescent="0.25">
      <c r="A61">
        <v>-2.64075597169313E-2</v>
      </c>
      <c r="B61">
        <v>9.9395473678658822E-2</v>
      </c>
      <c r="C61">
        <v>4.3265993265993209E-2</v>
      </c>
      <c r="D61">
        <v>2.067624177139438E-2</v>
      </c>
      <c r="E61">
        <v>2.2659129487539536E-3</v>
      </c>
      <c r="F61">
        <v>-1.4393854235494384E-2</v>
      </c>
      <c r="G61">
        <v>3.8624803650235622E-2</v>
      </c>
      <c r="H61">
        <v>3.5815761621753692E-2</v>
      </c>
      <c r="I61">
        <v>4.8423073250396E-2</v>
      </c>
      <c r="J61">
        <v>2.3719034956928831E-2</v>
      </c>
    </row>
    <row r="62" spans="1:10" x14ac:dyDescent="0.25">
      <c r="A62">
        <v>-1.3694033788101736E-2</v>
      </c>
      <c r="B62">
        <v>1.9952981679720025E-2</v>
      </c>
      <c r="C62">
        <v>1.3651877133105813E-2</v>
      </c>
      <c r="D62">
        <v>3.953129850041185E-2</v>
      </c>
      <c r="E62">
        <v>4.6023901120935407E-2</v>
      </c>
      <c r="F62">
        <v>6.9957845763015114E-2</v>
      </c>
      <c r="G62">
        <v>1.6489730746932593E-2</v>
      </c>
      <c r="H62">
        <v>-4.3835245876914189E-2</v>
      </c>
      <c r="I62">
        <v>1.4646277068160966E-2</v>
      </c>
      <c r="J62">
        <v>5.3981207302571686E-2</v>
      </c>
    </row>
    <row r="63" spans="1:10" x14ac:dyDescent="0.25">
      <c r="A63">
        <v>7.3628643912672098E-2</v>
      </c>
      <c r="B63">
        <v>5.7475558589431937E-2</v>
      </c>
      <c r="C63">
        <v>2.8737952706142655E-2</v>
      </c>
      <c r="D63">
        <v>5.3753726685595304E-2</v>
      </c>
      <c r="E63">
        <v>5.9890016474078323E-2</v>
      </c>
      <c r="F63">
        <v>1.9996529107621664E-2</v>
      </c>
      <c r="G63">
        <v>2.2407711517719101E-2</v>
      </c>
      <c r="H63">
        <v>4.2322160815691443E-2</v>
      </c>
      <c r="I63">
        <v>5.1925227880916545E-2</v>
      </c>
      <c r="J63">
        <v>7.1121744603058826E-2</v>
      </c>
    </row>
    <row r="64" spans="1:10" x14ac:dyDescent="0.25">
      <c r="A64">
        <v>-6.0522602248266007E-2</v>
      </c>
      <c r="B64">
        <v>-0.10769777402193323</v>
      </c>
      <c r="C64">
        <v>-2.2513942513942474E-2</v>
      </c>
      <c r="D64">
        <v>-5.8058714789072083E-2</v>
      </c>
      <c r="E64">
        <v>-3.2468305964434716E-2</v>
      </c>
      <c r="F64">
        <v>1.1491748156084383E-2</v>
      </c>
      <c r="G64">
        <v>-0.1034611933407093</v>
      </c>
      <c r="H64">
        <v>-5.5956422909952272E-2</v>
      </c>
      <c r="I64">
        <v>-8.9328424454593325E-2</v>
      </c>
      <c r="J64">
        <v>0.11199608980126864</v>
      </c>
    </row>
    <row r="65" spans="1:10" x14ac:dyDescent="0.25">
      <c r="A65">
        <v>5.7458356728429687E-2</v>
      </c>
      <c r="B65">
        <v>8.9023482157932678E-3</v>
      </c>
      <c r="C65">
        <v>-9.6609670268343065E-2</v>
      </c>
      <c r="D65">
        <v>4.3911786982375758E-2</v>
      </c>
      <c r="E65">
        <v>8.4158415841584219E-2</v>
      </c>
      <c r="F65">
        <v>-1.8882323247320115E-2</v>
      </c>
      <c r="G65">
        <v>5.9854392015105472E-2</v>
      </c>
      <c r="H65">
        <v>-5.1104347431063402E-2</v>
      </c>
      <c r="I65">
        <v>8.2585636754080038E-2</v>
      </c>
      <c r="J65">
        <v>1.5631434357565581E-2</v>
      </c>
    </row>
    <row r="66" spans="1:10" x14ac:dyDescent="0.25">
      <c r="A66">
        <v>4.8900514393193949E-2</v>
      </c>
      <c r="B66">
        <v>7.0066958235892721E-2</v>
      </c>
      <c r="C66">
        <v>-1.7486846177653082E-3</v>
      </c>
      <c r="D66">
        <v>7.9380065309713459E-3</v>
      </c>
      <c r="E66">
        <v>5.3432839688524365E-2</v>
      </c>
      <c r="F66">
        <v>8.51751483065184E-2</v>
      </c>
      <c r="G66">
        <v>1.9893212294711606E-2</v>
      </c>
      <c r="H66">
        <v>6.5641543996622892E-2</v>
      </c>
      <c r="I66">
        <v>5.0215380785652929E-2</v>
      </c>
      <c r="J66">
        <v>7.9558118716010887E-2</v>
      </c>
    </row>
    <row r="67" spans="1:10" x14ac:dyDescent="0.25">
      <c r="A67">
        <v>8.6496224130973492E-2</v>
      </c>
      <c r="B67">
        <v>9.6385581296410269E-2</v>
      </c>
      <c r="C67">
        <v>2.0071509191219906E-2</v>
      </c>
      <c r="D67">
        <v>-3.2238732457556596E-2</v>
      </c>
      <c r="E67">
        <v>1.3598965139108595E-2</v>
      </c>
      <c r="F67">
        <v>6.385086609692471E-2</v>
      </c>
      <c r="G67">
        <v>9.418195494144857E-2</v>
      </c>
      <c r="H67">
        <v>2.4572430191621579E-2</v>
      </c>
      <c r="I67">
        <v>4.1609066145831028E-2</v>
      </c>
      <c r="J67">
        <v>0.18268967603462929</v>
      </c>
    </row>
    <row r="68" spans="1:10" x14ac:dyDescent="0.25">
      <c r="A68">
        <v>5.0201979382816446E-2</v>
      </c>
      <c r="B68">
        <v>-2.1482174720628397E-2</v>
      </c>
      <c r="C68">
        <v>4.2001809359322302E-2</v>
      </c>
      <c r="D68">
        <v>1.5964812467352769E-2</v>
      </c>
      <c r="E68">
        <v>4.1117336004074585E-2</v>
      </c>
      <c r="F68">
        <v>-3.5899467827108776E-3</v>
      </c>
      <c r="G68">
        <v>4.0432032590051493E-2</v>
      </c>
      <c r="H68">
        <v>2.9498690762625596E-2</v>
      </c>
      <c r="I68">
        <v>-1.2849404478720605E-2</v>
      </c>
      <c r="J68">
        <v>0.13661443751330279</v>
      </c>
    </row>
    <row r="69" spans="1:10" x14ac:dyDescent="0.25">
      <c r="A69">
        <v>-2.5213890212614071E-2</v>
      </c>
      <c r="B69">
        <v>8.3773167720260083E-2</v>
      </c>
      <c r="C69">
        <v>-4.087653425046528E-2</v>
      </c>
      <c r="D69">
        <v>-6.0765072676716894E-2</v>
      </c>
      <c r="E69">
        <v>-1.5145496411402819E-2</v>
      </c>
      <c r="F69">
        <v>5.6479172605923299E-2</v>
      </c>
      <c r="G69">
        <v>-5.0474101294299155E-2</v>
      </c>
      <c r="H69">
        <v>-4.4792135110958524E-2</v>
      </c>
      <c r="I69">
        <v>-6.3837600893882698E-2</v>
      </c>
      <c r="J69">
        <v>-7.1079307381692866E-2</v>
      </c>
    </row>
    <row r="70" spans="1:10" x14ac:dyDescent="0.25">
      <c r="A70">
        <v>-1.0200266944709671E-2</v>
      </c>
      <c r="B70">
        <v>0.14122460690696059</v>
      </c>
      <c r="C70">
        <v>9.761207986285475E-2</v>
      </c>
      <c r="D70">
        <v>2.0563965477541263E-2</v>
      </c>
      <c r="E70">
        <v>5.7448186989612522E-2</v>
      </c>
      <c r="F70">
        <v>-7.8302894033986103E-2</v>
      </c>
      <c r="G70">
        <v>5.0887073913020199E-2</v>
      </c>
      <c r="H70">
        <v>6.1952119008401439E-2</v>
      </c>
      <c r="I70">
        <v>3.7631902188674453E-2</v>
      </c>
      <c r="J70">
        <v>7.2925760629227468E-2</v>
      </c>
    </row>
    <row r="71" spans="1:10" x14ac:dyDescent="0.25">
      <c r="A71">
        <v>-1.2548162333017976E-2</v>
      </c>
      <c r="B71">
        <v>-0.11830366038553168</v>
      </c>
      <c r="C71">
        <v>-1.3394153725249047E-2</v>
      </c>
      <c r="D71">
        <v>-8.1290279482031769E-2</v>
      </c>
      <c r="E71">
        <v>-9.0881435358386498E-2</v>
      </c>
      <c r="F71">
        <v>-1.0173073947383184E-2</v>
      </c>
      <c r="G71">
        <v>2.5524567396118334E-3</v>
      </c>
      <c r="H71">
        <v>8.5653507635470114E-3</v>
      </c>
      <c r="I71">
        <v>-1.3265498906913299E-3</v>
      </c>
      <c r="J71">
        <v>-8.7733531819873534E-2</v>
      </c>
    </row>
    <row r="72" spans="1:10" x14ac:dyDescent="0.25">
      <c r="A72">
        <v>0.10671043581367357</v>
      </c>
      <c r="B72">
        <v>2.2489905763503376E-2</v>
      </c>
      <c r="C72">
        <v>0.15223575035187348</v>
      </c>
      <c r="D72">
        <v>3.1820190859472235E-2</v>
      </c>
      <c r="E72">
        <v>3.050535436169538E-2</v>
      </c>
      <c r="F72">
        <v>6.1615300195027221E-2</v>
      </c>
      <c r="G72">
        <v>4.6204509371616576E-2</v>
      </c>
      <c r="H72">
        <v>1.3854388564806565E-2</v>
      </c>
      <c r="I72">
        <v>2.3666644563799931E-2</v>
      </c>
      <c r="J72">
        <v>3.4304894760343103E-2</v>
      </c>
    </row>
    <row r="73" spans="1:10" x14ac:dyDescent="0.25">
      <c r="A73">
        <v>1.7142810765185219E-2</v>
      </c>
      <c r="B73">
        <v>2.7114294727073222E-4</v>
      </c>
      <c r="C73">
        <v>4.258637851594177E-2</v>
      </c>
      <c r="D73">
        <v>-5.0445787026963021E-2</v>
      </c>
      <c r="E73">
        <v>1.3921388283986844E-2</v>
      </c>
      <c r="F73">
        <v>0.15713823505621616</v>
      </c>
      <c r="G73">
        <v>-3.5897408160616269E-2</v>
      </c>
      <c r="H73">
        <v>2.1864317615502428E-2</v>
      </c>
      <c r="I73">
        <v>-1.2429757748646186E-2</v>
      </c>
      <c r="J73">
        <v>1.6321357035553374E-2</v>
      </c>
    </row>
    <row r="74" spans="1:10" x14ac:dyDescent="0.25">
      <c r="A74">
        <v>8.5438220618498636E-2</v>
      </c>
      <c r="B74">
        <v>2.8560206586086454E-3</v>
      </c>
      <c r="C74">
        <v>4.2826414973193352E-2</v>
      </c>
      <c r="D74">
        <v>6.2092511604196182E-2</v>
      </c>
      <c r="E74">
        <v>-5.5784728164391242E-2</v>
      </c>
      <c r="F74">
        <v>2.895523133390477E-2</v>
      </c>
      <c r="G74">
        <v>-4.3083020981430301E-3</v>
      </c>
      <c r="H74">
        <v>4.7585244990758245E-2</v>
      </c>
      <c r="I74">
        <v>6.2544358309433922E-3</v>
      </c>
      <c r="J74">
        <v>0.15309593193731444</v>
      </c>
    </row>
    <row r="75" spans="1:10" x14ac:dyDescent="0.25">
      <c r="A75">
        <v>5.6793764639727642E-2</v>
      </c>
      <c r="B75">
        <v>-2.5450105219401942E-2</v>
      </c>
      <c r="C75">
        <v>-2.6259026540373324E-2</v>
      </c>
      <c r="D75">
        <v>-6.8488214564510087E-3</v>
      </c>
      <c r="E75">
        <v>-3.5764313267923044E-2</v>
      </c>
      <c r="F75">
        <v>2.1058356632362545E-2</v>
      </c>
      <c r="G75">
        <v>5.0705325162538867E-2</v>
      </c>
      <c r="H75">
        <v>-7.5826461161727105E-3</v>
      </c>
      <c r="I75">
        <v>1.7602655800693944E-3</v>
      </c>
      <c r="J75">
        <v>4.3711215947719796E-2</v>
      </c>
    </row>
    <row r="76" spans="1:10" x14ac:dyDescent="0.25">
      <c r="A76">
        <v>2.6621987655288653E-2</v>
      </c>
      <c r="B76">
        <v>-0.14409412866939625</v>
      </c>
      <c r="C76">
        <v>7.2631855156127393E-3</v>
      </c>
      <c r="D76">
        <v>6.0140861347235418E-2</v>
      </c>
      <c r="E76">
        <v>6.5727653319684595E-2</v>
      </c>
      <c r="F76">
        <v>2.7716278237022968E-2</v>
      </c>
      <c r="G76">
        <v>6.1455298957926618E-2</v>
      </c>
      <c r="H76">
        <v>3.656404160683481E-2</v>
      </c>
      <c r="I76">
        <v>3.9514125359888595E-2</v>
      </c>
      <c r="J76">
        <v>9.4724146462147538E-2</v>
      </c>
    </row>
    <row r="77" spans="1:10" x14ac:dyDescent="0.25">
      <c r="A77">
        <v>2.8264856248243181E-2</v>
      </c>
      <c r="B77">
        <v>-9.0738027424809617E-2</v>
      </c>
      <c r="C77">
        <v>0.13099477682811023</v>
      </c>
      <c r="D77">
        <v>7.7869979456818301E-3</v>
      </c>
      <c r="E77">
        <v>4.1422787145712639E-2</v>
      </c>
      <c r="F77">
        <v>3.5584849268362811E-3</v>
      </c>
      <c r="G77">
        <v>2.3418780778537893E-3</v>
      </c>
      <c r="H77">
        <v>1.7595318360951462E-2</v>
      </c>
      <c r="I77">
        <v>-1.803832828915225E-2</v>
      </c>
      <c r="J77">
        <v>7.5619816383554195E-2</v>
      </c>
    </row>
    <row r="78" spans="1:10" x14ac:dyDescent="0.25">
      <c r="A78">
        <v>-1.2505005928589389E-3</v>
      </c>
      <c r="B78">
        <v>-1.219505700080698E-2</v>
      </c>
      <c r="C78">
        <v>2.5990792390324709E-2</v>
      </c>
      <c r="D78">
        <v>-1.85828069665206E-2</v>
      </c>
      <c r="E78">
        <v>3.5231071258025229E-2</v>
      </c>
      <c r="F78">
        <v>-5.953072773058684E-2</v>
      </c>
      <c r="G78">
        <v>3.3281990879165859E-3</v>
      </c>
      <c r="H78">
        <v>5.8848519203287077E-2</v>
      </c>
      <c r="I78">
        <v>-2.6985681485093518E-2</v>
      </c>
      <c r="J78">
        <v>8.0496950963830985E-2</v>
      </c>
    </row>
    <row r="79" spans="1:10" x14ac:dyDescent="0.25">
      <c r="A79">
        <v>-1.222416133410901E-2</v>
      </c>
      <c r="B79">
        <v>-0.10760748807338351</v>
      </c>
      <c r="C79">
        <v>0.13691877371292469</v>
      </c>
      <c r="D79">
        <v>-6.2280090104627726E-2</v>
      </c>
      <c r="E79">
        <v>-1.0140020518135444E-2</v>
      </c>
      <c r="F79">
        <v>-4.099556131745468E-2</v>
      </c>
      <c r="G79">
        <v>-7.265608370769526E-2</v>
      </c>
      <c r="H79">
        <v>-1.727266326829334E-2</v>
      </c>
      <c r="I79">
        <v>-3.0624555746494452E-3</v>
      </c>
      <c r="J79">
        <v>5.6990698346908166E-3</v>
      </c>
    </row>
    <row r="80" spans="1:10" x14ac:dyDescent="0.25">
      <c r="A80">
        <v>-2.4699296467206245E-2</v>
      </c>
      <c r="B80">
        <v>2.8036870927920956E-3</v>
      </c>
      <c r="C80">
        <v>5.5679808212369654E-2</v>
      </c>
      <c r="D80">
        <v>6.4665498906730692E-2</v>
      </c>
      <c r="E80">
        <v>-6.003633503407383E-3</v>
      </c>
      <c r="F80">
        <v>-3.4394977386790808E-2</v>
      </c>
      <c r="G80">
        <v>0.10488367919098381</v>
      </c>
      <c r="H80">
        <v>2.3399301219074423E-2</v>
      </c>
      <c r="I80">
        <v>4.7537129913330242E-2</v>
      </c>
      <c r="J80">
        <v>-1.9017788546776174E-2</v>
      </c>
    </row>
    <row r="81" spans="1:10" x14ac:dyDescent="0.25">
      <c r="A81">
        <v>1.0223362609355207E-2</v>
      </c>
      <c r="B81">
        <v>9.3851377330578856E-2</v>
      </c>
      <c r="C81">
        <v>1.6312341222088633E-2</v>
      </c>
      <c r="D81">
        <v>-1.5198318753244908E-3</v>
      </c>
      <c r="E81">
        <v>4.8011584349456411E-2</v>
      </c>
      <c r="F81">
        <v>5.2751058717645793E-2</v>
      </c>
      <c r="G81">
        <v>-1.9333876905590214E-3</v>
      </c>
      <c r="H81">
        <v>2.0496566705753141E-2</v>
      </c>
      <c r="I81">
        <v>1.1677441699376441E-2</v>
      </c>
      <c r="J81">
        <v>-2.6118286253654779E-2</v>
      </c>
    </row>
    <row r="82" spans="1:10" x14ac:dyDescent="0.25">
      <c r="A82">
        <v>-5.2511346099754289E-3</v>
      </c>
      <c r="B82">
        <v>4.5821525593999282E-2</v>
      </c>
      <c r="C82">
        <v>-3.6487260234755244E-2</v>
      </c>
      <c r="D82">
        <v>2.0449638325566364E-3</v>
      </c>
      <c r="E82">
        <v>1.8924373120849141E-2</v>
      </c>
      <c r="F82">
        <v>-3.6610101260334996E-2</v>
      </c>
      <c r="G82">
        <v>-4.3175024908668107E-3</v>
      </c>
      <c r="H82">
        <v>1.2421443609179813E-2</v>
      </c>
      <c r="I82">
        <v>1.4958688943342275E-2</v>
      </c>
      <c r="J82">
        <v>-3.2584501709538465E-3</v>
      </c>
    </row>
    <row r="83" spans="1:10" x14ac:dyDescent="0.25">
      <c r="A83">
        <v>4.2628784981541976E-2</v>
      </c>
      <c r="B83">
        <v>1.0852176980322474E-2</v>
      </c>
      <c r="C83">
        <v>-9.1866314817944356E-2</v>
      </c>
      <c r="D83">
        <v>1.389302441938764E-2</v>
      </c>
      <c r="E83">
        <v>0.12202210926195438</v>
      </c>
      <c r="F83">
        <v>4.7959403052883848E-2</v>
      </c>
      <c r="G83">
        <v>0.10117503640242458</v>
      </c>
      <c r="H83">
        <v>9.9664510495536374E-2</v>
      </c>
      <c r="I83">
        <v>8.8261547338589014E-2</v>
      </c>
      <c r="J83">
        <v>2.2225349800030363E-2</v>
      </c>
    </row>
    <row r="84" spans="1:10" x14ac:dyDescent="0.25">
      <c r="A84">
        <v>-7.2745847044837816E-2</v>
      </c>
      <c r="B84">
        <v>-1.0701959095097626E-2</v>
      </c>
      <c r="C84">
        <v>-6.3829528306479061E-2</v>
      </c>
      <c r="D84">
        <v>-6.4545878944366877E-2</v>
      </c>
      <c r="E84">
        <v>-9.9657221807150753E-2</v>
      </c>
      <c r="F84">
        <v>-8.2203714803742292E-2</v>
      </c>
      <c r="G84">
        <v>-2.5025586846710114E-2</v>
      </c>
      <c r="H84">
        <v>-1.7065578746020878E-2</v>
      </c>
      <c r="I84">
        <v>-8.3031878897897218E-2</v>
      </c>
      <c r="J84">
        <v>9.0584668909325872E-2</v>
      </c>
    </row>
    <row r="85" spans="1:10" x14ac:dyDescent="0.25">
      <c r="A85">
        <v>4.4180705763176176E-2</v>
      </c>
      <c r="B85">
        <v>-2.5969146121091979E-2</v>
      </c>
      <c r="C85">
        <v>-9.1781245855254351E-2</v>
      </c>
      <c r="D85">
        <v>-7.5242738735382094E-3</v>
      </c>
      <c r="E85">
        <v>1.0313540742089497E-2</v>
      </c>
      <c r="F85">
        <v>-7.4386395382352657E-3</v>
      </c>
      <c r="G85">
        <v>-2.4414597223564243E-2</v>
      </c>
      <c r="H85">
        <v>-2.8855288971022665E-2</v>
      </c>
      <c r="I85">
        <v>-4.4960299618928357E-3</v>
      </c>
      <c r="J85">
        <v>4.8584244823464172E-3</v>
      </c>
    </row>
    <row r="86" spans="1:10" x14ac:dyDescent="0.25">
      <c r="A86">
        <v>9.396749305281539E-2</v>
      </c>
      <c r="B86">
        <v>0.1052829308166317</v>
      </c>
      <c r="C86">
        <v>1.1707611624864346E-2</v>
      </c>
      <c r="D86">
        <v>6.0590287012621806E-2</v>
      </c>
      <c r="E86">
        <v>-3.2477230021211263E-3</v>
      </c>
      <c r="F86">
        <v>1.6222671182978158E-2</v>
      </c>
      <c r="G86">
        <v>5.354064582682936E-2</v>
      </c>
      <c r="H86">
        <v>5.5078874209160418E-2</v>
      </c>
      <c r="I86">
        <v>2.6581039344897679E-3</v>
      </c>
      <c r="J86">
        <v>-8.2414407189442304E-2</v>
      </c>
    </row>
    <row r="87" spans="1:10" x14ac:dyDescent="0.25">
      <c r="A87">
        <v>5.4846472826941245E-2</v>
      </c>
      <c r="B87">
        <v>0.18831013694616847</v>
      </c>
      <c r="C87">
        <v>-3.2212042176597948E-3</v>
      </c>
      <c r="D87">
        <v>2.5413856649173516E-2</v>
      </c>
      <c r="E87">
        <v>3.7044443137485568E-2</v>
      </c>
      <c r="F87">
        <v>8.1946165566277276E-2</v>
      </c>
      <c r="G87">
        <v>2.7137808201989532E-2</v>
      </c>
      <c r="H87">
        <v>4.9046251238561003E-2</v>
      </c>
      <c r="I87">
        <v>3.8650249112045967E-2</v>
      </c>
      <c r="J87">
        <v>-6.2150204623382325E-2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32D6-CD28-4CE3-9DFE-51447AE44458}">
  <sheetPr codeName="Sheet4"/>
  <dimension ref="A1:K17"/>
  <sheetViews>
    <sheetView workbookViewId="0"/>
  </sheetViews>
  <sheetFormatPr defaultRowHeight="13.2" x14ac:dyDescent="0.25"/>
  <cols>
    <col min="1" max="1" width="12.77734375" customWidth="1"/>
  </cols>
  <sheetData>
    <row r="1" spans="1:11" x14ac:dyDescent="0.25">
      <c r="A1" s="5" t="s">
        <v>18</v>
      </c>
    </row>
    <row r="3" spans="1:11" x14ac:dyDescent="0.25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5">
      <c r="A4" s="5" t="s">
        <v>20</v>
      </c>
      <c r="B4">
        <f>AVERAGE(AXP)</f>
        <v>1.1840961973885362E-2</v>
      </c>
      <c r="C4">
        <f>AVERAGE(AAPL)</f>
        <v>1.6848051372809571E-2</v>
      </c>
      <c r="D4">
        <f>AVERAGE(F)</f>
        <v>1.6821809770002389E-3</v>
      </c>
      <c r="E4">
        <f>AVERAGE(IBM)</f>
        <v>6.9587445451210631E-4</v>
      </c>
      <c r="F4">
        <f>AVERAGE(ORCL)</f>
        <v>9.9056254196590275E-3</v>
      </c>
      <c r="G4">
        <f>AVERAGE(MSFT)</f>
        <v>2.0043908616631485E-2</v>
      </c>
      <c r="H4">
        <f>AVERAGE(GE)</f>
        <v>-1.6404091419110062E-3</v>
      </c>
      <c r="I4">
        <f>AVERAGE(COST)</f>
        <v>1.6361160779404159E-2</v>
      </c>
      <c r="J4">
        <f>AVERAGE(XOM)</f>
        <v>3.4260110035281392E-3</v>
      </c>
      <c r="K4">
        <f>AVERAGE(LUV)</f>
        <v>2.4039969214878741E-2</v>
      </c>
    </row>
    <row r="5" spans="1:11" x14ac:dyDescent="0.25">
      <c r="A5" s="5" t="s">
        <v>21</v>
      </c>
      <c r="B5">
        <f>STDEV(AXP)</f>
        <v>5.4896317680266649E-2</v>
      </c>
      <c r="C5">
        <f>STDEV(AAPL)</f>
        <v>7.5626848135197725E-2</v>
      </c>
      <c r="D5">
        <f>STDEV(F)</f>
        <v>6.244798254668163E-2</v>
      </c>
      <c r="E5">
        <f>STDEV(IBM)</f>
        <v>5.8140299436145328E-2</v>
      </c>
      <c r="F5">
        <f>STDEV(ORCL)</f>
        <v>5.0651419704393429E-2</v>
      </c>
      <c r="G5">
        <f>STDEV(MSFT)</f>
        <v>5.8615970943795025E-2</v>
      </c>
      <c r="H5">
        <f>STDEV(GE)</f>
        <v>7.2340670309624197E-2</v>
      </c>
      <c r="I5">
        <f>STDEV(COST)</f>
        <v>4.758165932591691E-2</v>
      </c>
      <c r="J5">
        <f>STDEV(XOM)</f>
        <v>4.6216729339201533E-2</v>
      </c>
      <c r="K5">
        <f>STDEV(LUV)</f>
        <v>8.4934142783585714E-2</v>
      </c>
    </row>
    <row r="7" spans="1:11" x14ac:dyDescent="0.25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9</v>
      </c>
      <c r="H7" t="s">
        <v>11</v>
      </c>
      <c r="I7" t="s">
        <v>10</v>
      </c>
      <c r="J7" t="s">
        <v>13</v>
      </c>
      <c r="K7" t="s">
        <v>8</v>
      </c>
    </row>
    <row r="8" spans="1:11" x14ac:dyDescent="0.25">
      <c r="A8" t="s">
        <v>1</v>
      </c>
      <c r="B8">
        <f>CORREL(AXP,AXP)</f>
        <v>1</v>
      </c>
      <c r="C8">
        <f>CORREL(AAPL,AXP)</f>
        <v>0.23143693451888989</v>
      </c>
      <c r="D8">
        <f>CORREL(F,AXP)</f>
        <v>0.42922111752269748</v>
      </c>
      <c r="E8">
        <f>CORREL(IBM,AXP)</f>
        <v>0.47372641894589301</v>
      </c>
      <c r="F8">
        <f>CORREL(ORCL,AXP)</f>
        <v>0.42484248273153224</v>
      </c>
      <c r="G8">
        <f>CORREL(MSFT,AXP)</f>
        <v>0.32383933142532828</v>
      </c>
      <c r="H8">
        <f>CORREL(GE,AXP)</f>
        <v>0.21416080189074088</v>
      </c>
      <c r="I8">
        <f>CORREL(COST,AXP)</f>
        <v>0.28350632025255523</v>
      </c>
      <c r="J8">
        <f>CORREL(XOM,AXP)</f>
        <v>0.41968268753568244</v>
      </c>
      <c r="K8">
        <f>CORREL(LUV,AXP)</f>
        <v>0.34103965076777587</v>
      </c>
    </row>
    <row r="9" spans="1:11" x14ac:dyDescent="0.25">
      <c r="A9" t="s">
        <v>5</v>
      </c>
      <c r="B9">
        <f>CORREL(AXP,AAPL)</f>
        <v>0.23143693451888989</v>
      </c>
      <c r="C9">
        <f>CORREL(AAPL,AAPL)</f>
        <v>0.99999999999999989</v>
      </c>
      <c r="D9">
        <f>CORREL(F,AAPL)</f>
        <v>0.17592148776513383</v>
      </c>
      <c r="E9">
        <f>CORREL(IBM,AAPL)</f>
        <v>0.24032182332616461</v>
      </c>
      <c r="F9">
        <f>CORREL(ORCL,AAPL)</f>
        <v>0.3536118964180916</v>
      </c>
      <c r="G9">
        <f>CORREL(MSFT,AAPL)</f>
        <v>0.36438250708707942</v>
      </c>
      <c r="H9">
        <f>CORREL(GE,AAPL)</f>
        <v>0.2320028972680229</v>
      </c>
      <c r="I9">
        <f>CORREL(COST,AAPL)</f>
        <v>0.39130026142431812</v>
      </c>
      <c r="J9">
        <f>CORREL(XOM,AAPL)</f>
        <v>0.15651723480148258</v>
      </c>
      <c r="K9">
        <f>CORREL(LUV,AAPL)</f>
        <v>8.1020253853123864E-2</v>
      </c>
    </row>
    <row r="10" spans="1:11" x14ac:dyDescent="0.25">
      <c r="A10" t="s">
        <v>12</v>
      </c>
      <c r="B10">
        <f>CORREL(AXP,F)</f>
        <v>0.42922111752269748</v>
      </c>
      <c r="C10">
        <f>CORREL(AAPL,F)</f>
        <v>0.17592148776513383</v>
      </c>
      <c r="D10">
        <f>CORREL(F,F)</f>
        <v>1</v>
      </c>
      <c r="E10">
        <f>CORREL(IBM,F)</f>
        <v>0.27947751300299961</v>
      </c>
      <c r="F10">
        <f>CORREL(ORCL,F)</f>
        <v>0.25356166230987787</v>
      </c>
      <c r="G10">
        <f>CORREL(MSFT,F)</f>
        <v>0.15645971896870706</v>
      </c>
      <c r="H10">
        <f>CORREL(GE,F)</f>
        <v>0.30401717420129942</v>
      </c>
      <c r="I10">
        <f>CORREL(COST,F)</f>
        <v>0.30070304331208841</v>
      </c>
      <c r="J10">
        <f>CORREL(XOM,F)</f>
        <v>0.28619145925654665</v>
      </c>
      <c r="K10">
        <f>CORREL(LUV,F)</f>
        <v>0.35208054363304359</v>
      </c>
    </row>
    <row r="11" spans="1:11" x14ac:dyDescent="0.25">
      <c r="A11" t="s">
        <v>6</v>
      </c>
      <c r="B11">
        <f>CORREL(AXP,IBM)</f>
        <v>0.47372641894589301</v>
      </c>
      <c r="C11">
        <f>CORREL(AAPL,IBM)</f>
        <v>0.24032182332616461</v>
      </c>
      <c r="D11">
        <f>CORREL(F,IBM)</f>
        <v>0.27947751300299961</v>
      </c>
      <c r="E11">
        <f>CORREL(IBM,IBM)</f>
        <v>0.99999999999999989</v>
      </c>
      <c r="F11">
        <f>CORREL(ORCL,IBM)</f>
        <v>0.4946789830396735</v>
      </c>
      <c r="G11">
        <f>CORREL(MSFT,IBM)</f>
        <v>0.34582184118574572</v>
      </c>
      <c r="H11">
        <f>CORREL(GE,IBM)</f>
        <v>0.35274402164702107</v>
      </c>
      <c r="I11">
        <f>CORREL(COST,IBM)</f>
        <v>0.29016441279180955</v>
      </c>
      <c r="J11">
        <f>CORREL(XOM,IBM)</f>
        <v>0.42272423503576206</v>
      </c>
      <c r="K11">
        <f>CORREL(LUV,IBM)</f>
        <v>0.36306767036067178</v>
      </c>
    </row>
    <row r="12" spans="1:11" x14ac:dyDescent="0.25">
      <c r="A12" t="s">
        <v>7</v>
      </c>
      <c r="B12">
        <f>CORREL(AXP,ORCL)</f>
        <v>0.42484248273153224</v>
      </c>
      <c r="C12">
        <f>CORREL(AAPL,ORCL)</f>
        <v>0.3536118964180916</v>
      </c>
      <c r="D12">
        <f>CORREL(F,ORCL)</f>
        <v>0.25356166230987787</v>
      </c>
      <c r="E12">
        <f>CORREL(IBM,ORCL)</f>
        <v>0.4946789830396735</v>
      </c>
      <c r="F12">
        <f>CORREL(ORCL,ORCL)</f>
        <v>1</v>
      </c>
      <c r="G12">
        <f>CORREL(MSFT,ORCL)</f>
        <v>0.41877475177367929</v>
      </c>
      <c r="H12">
        <f>CORREL(GE,ORCL)</f>
        <v>0.35091987873623187</v>
      </c>
      <c r="I12">
        <f>CORREL(COST,ORCL)</f>
        <v>0.27162374345640627</v>
      </c>
      <c r="J12">
        <f>CORREL(XOM,ORCL)</f>
        <v>0.50012898673805339</v>
      </c>
      <c r="K12">
        <f>CORREL(LUV,ORCL)</f>
        <v>0.27925023077368549</v>
      </c>
    </row>
    <row r="13" spans="1:11" x14ac:dyDescent="0.25">
      <c r="A13" t="s">
        <v>9</v>
      </c>
      <c r="B13">
        <f>CORREL(AXP,MSFT)</f>
        <v>0.32383933142532828</v>
      </c>
      <c r="C13">
        <f>CORREL(AAPL,MSFT)</f>
        <v>0.36438250708707942</v>
      </c>
      <c r="D13">
        <f>CORREL(F,MSFT)</f>
        <v>0.15645971896870706</v>
      </c>
      <c r="E13">
        <f>CORREL(IBM,MSFT)</f>
        <v>0.34582184118574572</v>
      </c>
      <c r="F13">
        <f>CORREL(ORCL,MSFT)</f>
        <v>0.41877475177367929</v>
      </c>
      <c r="G13">
        <f>CORREL(MSFT,MSFT)</f>
        <v>0.99999999999999989</v>
      </c>
      <c r="H13">
        <f>CORREL(GE,MSFT)</f>
        <v>0.16349998019583101</v>
      </c>
      <c r="I13">
        <f>CORREL(COST,MSFT)</f>
        <v>0.28467969197500093</v>
      </c>
      <c r="J13">
        <f>CORREL(XOM,MSFT)</f>
        <v>0.29489547600474181</v>
      </c>
      <c r="K13">
        <f>CORREL(LUV,MSFT)</f>
        <v>8.5399464732406352E-2</v>
      </c>
    </row>
    <row r="14" spans="1:11" x14ac:dyDescent="0.25">
      <c r="A14" t="s">
        <v>11</v>
      </c>
      <c r="B14">
        <f>CORREL(AXP,GE)</f>
        <v>0.21416080189074088</v>
      </c>
      <c r="C14">
        <f>CORREL(AAPL,GE)</f>
        <v>0.2320028972680229</v>
      </c>
      <c r="D14">
        <f>CORREL(F,GE)</f>
        <v>0.30401717420129942</v>
      </c>
      <c r="E14">
        <f>CORREL(IBM,GE)</f>
        <v>0.35274402164702107</v>
      </c>
      <c r="F14">
        <f>CORREL(ORCL,GE)</f>
        <v>0.35091987873623187</v>
      </c>
      <c r="G14">
        <f>CORREL(MSFT,GE)</f>
        <v>0.16349998019583101</v>
      </c>
      <c r="H14">
        <f>CORREL(GE,GE)</f>
        <v>1.0000000000000002</v>
      </c>
      <c r="I14">
        <f>CORREL(COST,GE)</f>
        <v>0.23728437724051113</v>
      </c>
      <c r="J14">
        <f>CORREL(XOM,GE)</f>
        <v>0.44903427534035656</v>
      </c>
      <c r="K14">
        <f>CORREL(LUV,GE)</f>
        <v>0.25476161132845249</v>
      </c>
    </row>
    <row r="15" spans="1:11" x14ac:dyDescent="0.25">
      <c r="A15" t="s">
        <v>10</v>
      </c>
      <c r="B15">
        <f>CORREL(AXP,COST)</f>
        <v>0.28350632025255523</v>
      </c>
      <c r="C15">
        <f>CORREL(AAPL,COST)</f>
        <v>0.39130026142431812</v>
      </c>
      <c r="D15">
        <f>CORREL(F,COST)</f>
        <v>0.30070304331208841</v>
      </c>
      <c r="E15">
        <f>CORREL(IBM,COST)</f>
        <v>0.29016441279180955</v>
      </c>
      <c r="F15">
        <f>CORREL(ORCL,COST)</f>
        <v>0.27162374345640627</v>
      </c>
      <c r="G15">
        <f>CORREL(MSFT,COST)</f>
        <v>0.28467969197500093</v>
      </c>
      <c r="H15">
        <f>CORREL(GE,COST)</f>
        <v>0.23728437724051113</v>
      </c>
      <c r="I15">
        <f>CORREL(COST,COST)</f>
        <v>0.99999999999999978</v>
      </c>
      <c r="J15">
        <f>CORREL(XOM,COST)</f>
        <v>0.33754170789223686</v>
      </c>
      <c r="K15">
        <f>CORREL(LUV,COST)</f>
        <v>0.38545014972610153</v>
      </c>
    </row>
    <row r="16" spans="1:11" x14ac:dyDescent="0.25">
      <c r="A16" t="s">
        <v>13</v>
      </c>
      <c r="B16">
        <f>CORREL(AXP,XOM)</f>
        <v>0.41968268753568244</v>
      </c>
      <c r="C16">
        <f>CORREL(AAPL,XOM)</f>
        <v>0.15651723480148258</v>
      </c>
      <c r="D16">
        <f>CORREL(F,XOM)</f>
        <v>0.28619145925654665</v>
      </c>
      <c r="E16">
        <f>CORREL(IBM,XOM)</f>
        <v>0.42272423503576206</v>
      </c>
      <c r="F16">
        <f>CORREL(ORCL,XOM)</f>
        <v>0.50012898673805339</v>
      </c>
      <c r="G16">
        <f>CORREL(MSFT,XOM)</f>
        <v>0.29489547600474181</v>
      </c>
      <c r="H16">
        <f>CORREL(GE,XOM)</f>
        <v>0.44903427534035656</v>
      </c>
      <c r="I16">
        <f>CORREL(COST,XOM)</f>
        <v>0.33754170789223686</v>
      </c>
      <c r="J16">
        <f>CORREL(XOM,XOM)</f>
        <v>0.99999999999999978</v>
      </c>
      <c r="K16">
        <f>CORREL(LUV,XOM)</f>
        <v>0.19930754462159497</v>
      </c>
    </row>
    <row r="17" spans="1:11" x14ac:dyDescent="0.25">
      <c r="A17" t="s">
        <v>8</v>
      </c>
      <c r="B17">
        <f>CORREL(AXP,LUV)</f>
        <v>0.34103965076777587</v>
      </c>
      <c r="C17">
        <f>CORREL(AAPL,LUV)</f>
        <v>8.1020253853123864E-2</v>
      </c>
      <c r="D17">
        <f>CORREL(F,LUV)</f>
        <v>0.35208054363304359</v>
      </c>
      <c r="E17">
        <f>CORREL(IBM,LUV)</f>
        <v>0.36306767036067178</v>
      </c>
      <c r="F17">
        <f>CORREL(ORCL,LUV)</f>
        <v>0.27925023077368549</v>
      </c>
      <c r="G17">
        <f>CORREL(MSFT,LUV)</f>
        <v>8.5399464732406352E-2</v>
      </c>
      <c r="H17">
        <f>CORREL(GE,LUV)</f>
        <v>0.25476161132845249</v>
      </c>
      <c r="I17">
        <f>CORREL(COST,LUV)</f>
        <v>0.38545014972610153</v>
      </c>
      <c r="J17">
        <f>CORREL(XOM,LUV)</f>
        <v>0.19930754462159497</v>
      </c>
      <c r="K17">
        <f>CORREL(LUV,LUV)</f>
        <v>0.99999999999999989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36D13-B621-41AA-9E38-EB2AB4B16CD9}">
  <sheetPr codeName="Sheet3"/>
  <dimension ref="A1:K26"/>
  <sheetViews>
    <sheetView workbookViewId="0"/>
  </sheetViews>
  <sheetFormatPr defaultRowHeight="13.2" x14ac:dyDescent="0.25"/>
  <cols>
    <col min="1" max="1" width="12.77734375" customWidth="1"/>
  </cols>
  <sheetData>
    <row r="1" spans="1:11" x14ac:dyDescent="0.25">
      <c r="A1" s="5" t="s">
        <v>23</v>
      </c>
    </row>
    <row r="3" spans="1:11" x14ac:dyDescent="0.25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9</v>
      </c>
      <c r="H3" t="s">
        <v>11</v>
      </c>
      <c r="I3" t="s">
        <v>10</v>
      </c>
      <c r="J3" t="s">
        <v>13</v>
      </c>
      <c r="K3" t="s">
        <v>8</v>
      </c>
    </row>
    <row r="4" spans="1:11" x14ac:dyDescent="0.25">
      <c r="A4" s="5" t="s">
        <v>24</v>
      </c>
      <c r="B4">
        <v>0</v>
      </c>
      <c r="C4">
        <v>0</v>
      </c>
      <c r="D4">
        <v>0</v>
      </c>
      <c r="E4">
        <v>0</v>
      </c>
      <c r="F4">
        <v>0</v>
      </c>
      <c r="G4">
        <v>2.1876168222136813E-6</v>
      </c>
      <c r="H4">
        <v>0</v>
      </c>
      <c r="I4">
        <v>0</v>
      </c>
      <c r="J4">
        <v>0</v>
      </c>
      <c r="K4">
        <v>0.99999781238317775</v>
      </c>
    </row>
    <row r="5" spans="1:11" x14ac:dyDescent="0.25">
      <c r="A5" s="5" t="s">
        <v>20</v>
      </c>
      <c r="B5">
        <f>AVERAGE(AXP)</f>
        <v>1.1840961973885362E-2</v>
      </c>
      <c r="C5">
        <f>AVERAGE(AAPL)</f>
        <v>1.6848051372809571E-2</v>
      </c>
      <c r="D5">
        <f>AVERAGE(F)</f>
        <v>1.6821809770002389E-3</v>
      </c>
      <c r="E5">
        <f>AVERAGE(IBM)</f>
        <v>6.9587445451210631E-4</v>
      </c>
      <c r="F5">
        <f>AVERAGE(ORCL)</f>
        <v>9.9056254196590275E-3</v>
      </c>
      <c r="G5">
        <f>AVERAGE(MSFT)</f>
        <v>2.0043908616631485E-2</v>
      </c>
      <c r="H5">
        <f>AVERAGE(GE)</f>
        <v>-1.6404091419110062E-3</v>
      </c>
      <c r="I5">
        <f>AVERAGE(COST)</f>
        <v>1.6361160779404159E-2</v>
      </c>
      <c r="J5">
        <f>AVERAGE(XOM)</f>
        <v>3.4260110035281392E-3</v>
      </c>
      <c r="K5">
        <f>AVERAGE(LUV)</f>
        <v>2.4039969214878741E-2</v>
      </c>
    </row>
    <row r="7" spans="1:11" x14ac:dyDescent="0.25">
      <c r="A7" s="5" t="s">
        <v>25</v>
      </c>
      <c r="C7">
        <f>MIN(means)</f>
        <v>-1.6404091419110062E-3</v>
      </c>
      <c r="E7" s="5" t="s">
        <v>26</v>
      </c>
      <c r="G7">
        <f>SUM(weights)</f>
        <v>1</v>
      </c>
    </row>
    <row r="8" spans="1:11" x14ac:dyDescent="0.25">
      <c r="A8" s="5" t="s">
        <v>27</v>
      </c>
      <c r="C8">
        <f>MAX(means)</f>
        <v>2.4039969214878741E-2</v>
      </c>
    </row>
    <row r="10" spans="1:11" x14ac:dyDescent="0.25">
      <c r="A10" s="5" t="s">
        <v>28</v>
      </c>
      <c r="D10">
        <f>SUMPRODUCT(weights, means)</f>
        <v>2.4039960473029351E-2</v>
      </c>
      <c r="E10" s="6" t="s">
        <v>29</v>
      </c>
      <c r="F10">
        <v>2.4039968848228455E-2</v>
      </c>
    </row>
    <row r="12" spans="1:11" x14ac:dyDescent="0.25">
      <c r="A12" s="5" t="s">
        <v>30</v>
      </c>
      <c r="D12">
        <f t="array" ref="D12">MMULT(weights,MMULT(covariances,TRANSPOSE(weights)))</f>
        <v>7.1298977584110437E-3</v>
      </c>
    </row>
    <row r="14" spans="1:11" x14ac:dyDescent="0.25">
      <c r="A14" s="5" t="s">
        <v>31</v>
      </c>
      <c r="D14">
        <f>SQRT(portfolioVariance)</f>
        <v>8.443872191365194E-2</v>
      </c>
    </row>
    <row r="16" spans="1:11" x14ac:dyDescent="0.25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9</v>
      </c>
      <c r="H16" t="s">
        <v>11</v>
      </c>
      <c r="I16" t="s">
        <v>10</v>
      </c>
      <c r="J16" t="s">
        <v>13</v>
      </c>
      <c r="K16" t="s">
        <v>8</v>
      </c>
    </row>
    <row r="17" spans="1:11" x14ac:dyDescent="0.25">
      <c r="A17" t="s">
        <v>1</v>
      </c>
      <c r="B17">
        <f>COVAR(AXP,AXP)</f>
        <v>2.9785637681684243E-3</v>
      </c>
      <c r="C17">
        <f>COVAR(AAPL,AXP)</f>
        <v>9.4966920988087406E-4</v>
      </c>
      <c r="D17">
        <f>COVAR(F,AXP)</f>
        <v>1.4543307335713224E-3</v>
      </c>
      <c r="E17">
        <f>COVAR(IBM,AXP)</f>
        <v>1.4944058461797813E-3</v>
      </c>
      <c r="F17">
        <f>COVAR(ORCL,AXP)</f>
        <v>1.1675708648702253E-3</v>
      </c>
      <c r="G17">
        <f>COVAR(MSFT,AXP)</f>
        <v>1.0299336457947172E-3</v>
      </c>
      <c r="H17">
        <f>COVAR(GE,AXP)</f>
        <v>8.4059383663356532E-4</v>
      </c>
      <c r="I17">
        <f>COVAR(COST,AXP)</f>
        <v>7.3192404841976538E-4</v>
      </c>
      <c r="J17">
        <f>COVAR(XOM,AXP)</f>
        <v>1.0524075399035175E-3</v>
      </c>
      <c r="K17">
        <f>COVAR(LUV,AXP)</f>
        <v>1.5716320302506604E-3</v>
      </c>
    </row>
    <row r="18" spans="1:11" x14ac:dyDescent="0.25">
      <c r="A18" t="s">
        <v>5</v>
      </c>
      <c r="B18">
        <f>COVAR(AXP,AAPL)</f>
        <v>9.4966920988087406E-4</v>
      </c>
      <c r="C18">
        <f>COVAR(AAPL,AAPL)</f>
        <v>5.6529152732960756E-3</v>
      </c>
      <c r="D18">
        <f>COVAR(F,AAPL)</f>
        <v>8.2117132791832139E-4</v>
      </c>
      <c r="E18">
        <f>COVAR(IBM,AAPL)</f>
        <v>1.0444002084984763E-3</v>
      </c>
      <c r="F18">
        <f>COVAR(ORCL,AAPL)</f>
        <v>1.3387977240938282E-3</v>
      </c>
      <c r="G18">
        <f>COVAR(MSFT,AAPL)</f>
        <v>1.5965038060440932E-3</v>
      </c>
      <c r="H18">
        <f>COVAR(GE,AAPL)</f>
        <v>1.2545050456654382E-3</v>
      </c>
      <c r="I18">
        <f>COVAR(COST,AAPL)</f>
        <v>1.391701824587508E-3</v>
      </c>
      <c r="J18">
        <f>COVAR(XOM,AAPL)</f>
        <v>5.4070184323116164E-4</v>
      </c>
      <c r="K18">
        <f>COVAR(LUV,AAPL)</f>
        <v>5.1436615303994198E-4</v>
      </c>
    </row>
    <row r="19" spans="1:11" x14ac:dyDescent="0.25">
      <c r="A19" t="s">
        <v>12</v>
      </c>
      <c r="B19">
        <f>COVAR(AXP,F)</f>
        <v>1.4543307335713224E-3</v>
      </c>
      <c r="C19">
        <f>COVAR(AAPL,F)</f>
        <v>8.2117132791832139E-4</v>
      </c>
      <c r="D19">
        <f>COVAR(F,F)</f>
        <v>3.8544045878233205E-3</v>
      </c>
      <c r="E19">
        <f>COVAR(IBM,F)</f>
        <v>1.0029124465451191E-3</v>
      </c>
      <c r="F19">
        <f>COVAR(ORCL,F)</f>
        <v>7.9270956766610114E-4</v>
      </c>
      <c r="G19">
        <f>COVAR(MSFT,F)</f>
        <v>5.6605339059615097E-4</v>
      </c>
      <c r="H19">
        <f>COVAR(GE,F)</f>
        <v>1.3574365341140239E-3</v>
      </c>
      <c r="I19">
        <f>COVAR(COST,F)</f>
        <v>8.8311303212853381E-4</v>
      </c>
      <c r="J19">
        <f>COVAR(XOM,F)</f>
        <v>8.1638452571708127E-4</v>
      </c>
      <c r="K19">
        <f>COVAR(LUV,F)</f>
        <v>1.8457089624830522E-3</v>
      </c>
    </row>
    <row r="20" spans="1:11" x14ac:dyDescent="0.25">
      <c r="A20" t="s">
        <v>6</v>
      </c>
      <c r="B20">
        <f>COVAR(AXP,IBM)</f>
        <v>1.4944058461797813E-3</v>
      </c>
      <c r="C20">
        <f>COVAR(AAPL,IBM)</f>
        <v>1.0444002084984763E-3</v>
      </c>
      <c r="D20">
        <f>COVAR(F,IBM)</f>
        <v>1.0029124465451191E-3</v>
      </c>
      <c r="E20">
        <f>COVAR(IBM,IBM)</f>
        <v>3.3409886694720269E-3</v>
      </c>
      <c r="F20">
        <f>COVAR(ORCL,IBM)</f>
        <v>1.4398353125049141E-3</v>
      </c>
      <c r="G20">
        <f>COVAR(MSFT,IBM)</f>
        <v>1.1648395839798434E-3</v>
      </c>
      <c r="H20">
        <f>COVAR(GE,IBM)</f>
        <v>1.4663577175960409E-3</v>
      </c>
      <c r="I20">
        <f>COVAR(COST,IBM)</f>
        <v>7.933804034621169E-4</v>
      </c>
      <c r="J20">
        <f>COVAR(XOM,IBM)</f>
        <v>1.1226751082656916E-3</v>
      </c>
      <c r="K20">
        <f>COVAR(LUV,IBM)</f>
        <v>1.7720159436209939E-3</v>
      </c>
    </row>
    <row r="21" spans="1:11" x14ac:dyDescent="0.25">
      <c r="A21" t="s">
        <v>7</v>
      </c>
      <c r="B21">
        <f>COVAR(AXP,ORCL)</f>
        <v>1.1675708648702253E-3</v>
      </c>
      <c r="C21">
        <f>COVAR(AAPL,ORCL)</f>
        <v>1.3387977240938282E-3</v>
      </c>
      <c r="D21">
        <f>COVAR(F,ORCL)</f>
        <v>7.9270956766610114E-4</v>
      </c>
      <c r="E21">
        <f>COVAR(IBM,ORCL)</f>
        <v>1.4398353125049141E-3</v>
      </c>
      <c r="F21">
        <f>COVAR(ORCL,ORCL)</f>
        <v>2.5357341515814215E-3</v>
      </c>
      <c r="G21">
        <f>COVAR(MSFT,ORCL)</f>
        <v>1.2288773801243894E-3</v>
      </c>
      <c r="H21">
        <f>COVAR(GE,ORCL)</f>
        <v>1.2708742971349416E-3</v>
      </c>
      <c r="I21">
        <f>COVAR(COST,ORCL)</f>
        <v>6.4702254058376441E-4</v>
      </c>
      <c r="J21">
        <f>COVAR(XOM,ORCL)</f>
        <v>1.157159783644412E-3</v>
      </c>
      <c r="K21">
        <f>COVAR(LUV,ORCL)</f>
        <v>1.1873751232562941E-3</v>
      </c>
    </row>
    <row r="22" spans="1:11" x14ac:dyDescent="0.25">
      <c r="A22" t="s">
        <v>9</v>
      </c>
      <c r="B22">
        <f>COVAR(AXP,MSFT)</f>
        <v>1.0299336457947172E-3</v>
      </c>
      <c r="C22">
        <f>COVAR(AAPL,MSFT)</f>
        <v>1.5965038060440932E-3</v>
      </c>
      <c r="D22">
        <f>COVAR(F,MSFT)</f>
        <v>5.6605339059615097E-4</v>
      </c>
      <c r="E22">
        <f>COVAR(IBM,MSFT)</f>
        <v>1.1648395839798434E-3</v>
      </c>
      <c r="F22">
        <f>COVAR(ORCL,MSFT)</f>
        <v>1.2288773801243894E-3</v>
      </c>
      <c r="G22">
        <f>COVAR(MSFT,MSFT)</f>
        <v>3.3958805142223834E-3</v>
      </c>
      <c r="H22">
        <f>COVAR(GE,MSFT)</f>
        <v>6.8523047683147317E-4</v>
      </c>
      <c r="I22">
        <f>COVAR(COST,MSFT)</f>
        <v>7.847521390901296E-4</v>
      </c>
      <c r="J22">
        <f>COVAR(XOM,MSFT)</f>
        <v>7.8959384798718687E-4</v>
      </c>
      <c r="K22">
        <f>COVAR(LUV,MSFT)</f>
        <v>4.2021726738332199E-4</v>
      </c>
    </row>
    <row r="23" spans="1:11" x14ac:dyDescent="0.25">
      <c r="A23" t="s">
        <v>11</v>
      </c>
      <c r="B23">
        <f>COVAR(AXP,GE)</f>
        <v>8.4059383663356532E-4</v>
      </c>
      <c r="C23">
        <f>COVAR(AAPL,GE)</f>
        <v>1.2545050456654382E-3</v>
      </c>
      <c r="D23">
        <f>COVAR(F,GE)</f>
        <v>1.3574365341140239E-3</v>
      </c>
      <c r="E23">
        <f>COVAR(IBM,GE)</f>
        <v>1.4663577175960409E-3</v>
      </c>
      <c r="F23">
        <f>COVAR(ORCL,GE)</f>
        <v>1.2708742971349416E-3</v>
      </c>
      <c r="G23">
        <f>COVAR(MSFT,GE)</f>
        <v>6.8523047683147317E-4</v>
      </c>
      <c r="H23">
        <f>COVAR(GE,GE)</f>
        <v>5.1723217368824202E-3</v>
      </c>
      <c r="I23">
        <f>COVAR(COST,GE)</f>
        <v>8.0725683638600463E-4</v>
      </c>
      <c r="J23">
        <f>COVAR(XOM,GE)</f>
        <v>1.4838216509086891E-3</v>
      </c>
      <c r="K23">
        <f>COVAR(LUV,GE)</f>
        <v>1.5471032487348094E-3</v>
      </c>
    </row>
    <row r="24" spans="1:11" x14ac:dyDescent="0.25">
      <c r="A24" t="s">
        <v>10</v>
      </c>
      <c r="B24">
        <f>COVAR(AXP,COST)</f>
        <v>7.3192404841976538E-4</v>
      </c>
      <c r="C24">
        <f>COVAR(AAPL,COST)</f>
        <v>1.391701824587508E-3</v>
      </c>
      <c r="D24">
        <f>COVAR(F,COST)</f>
        <v>8.8311303212853381E-4</v>
      </c>
      <c r="E24">
        <f>COVAR(IBM,COST)</f>
        <v>7.933804034621169E-4</v>
      </c>
      <c r="F24">
        <f>COVAR(ORCL,COST)</f>
        <v>6.4702254058376441E-4</v>
      </c>
      <c r="G24">
        <f>COVAR(MSFT,COST)</f>
        <v>7.847521390901296E-4</v>
      </c>
      <c r="H24">
        <f>COVAR(GE,COST)</f>
        <v>8.0725683638600463E-4</v>
      </c>
      <c r="I24">
        <f>COVAR(COST,COST)</f>
        <v>2.2376885564842687E-3</v>
      </c>
      <c r="J24">
        <f>COVAR(XOM,COST)</f>
        <v>7.3364626234040972E-4</v>
      </c>
      <c r="K24">
        <f>COVAR(LUV,COST)</f>
        <v>1.5396095075315393E-3</v>
      </c>
    </row>
    <row r="25" spans="1:11" x14ac:dyDescent="0.25">
      <c r="A25" t="s">
        <v>13</v>
      </c>
      <c r="B25">
        <f>COVAR(AXP,XOM)</f>
        <v>1.0524075399035175E-3</v>
      </c>
      <c r="C25">
        <f>COVAR(AAPL,XOM)</f>
        <v>5.4070184323116164E-4</v>
      </c>
      <c r="D25">
        <f>COVAR(F,XOM)</f>
        <v>8.1638452571708127E-4</v>
      </c>
      <c r="E25">
        <f>COVAR(IBM,XOM)</f>
        <v>1.1226751082656916E-3</v>
      </c>
      <c r="F25">
        <f>COVAR(ORCL,XOM)</f>
        <v>1.157159783644412E-3</v>
      </c>
      <c r="G25">
        <f>COVAR(MSFT,XOM)</f>
        <v>7.8959384798718687E-4</v>
      </c>
      <c r="H25">
        <f>COVAR(GE,XOM)</f>
        <v>1.4838216509086891E-3</v>
      </c>
      <c r="I25">
        <f>COVAR(COST,XOM)</f>
        <v>7.3364626234040972E-4</v>
      </c>
      <c r="J25">
        <f>COVAR(XOM,XOM)</f>
        <v>2.1111490234779766E-3</v>
      </c>
      <c r="K25">
        <f>COVAR(LUV,XOM)</f>
        <v>7.7326032809837161E-4</v>
      </c>
    </row>
    <row r="26" spans="1:11" x14ac:dyDescent="0.25">
      <c r="A26" t="s">
        <v>8</v>
      </c>
      <c r="B26">
        <f>COVAR(AXP,LUV)</f>
        <v>1.5716320302506604E-3</v>
      </c>
      <c r="C26">
        <f>COVAR(AAPL,LUV)</f>
        <v>5.1436615303994198E-4</v>
      </c>
      <c r="D26">
        <f>COVAR(F,LUV)</f>
        <v>1.8457089624830522E-3</v>
      </c>
      <c r="E26">
        <f>COVAR(IBM,LUV)</f>
        <v>1.7720159436209939E-3</v>
      </c>
      <c r="F26">
        <f>COVAR(ORCL,LUV)</f>
        <v>1.1873751232562941E-3</v>
      </c>
      <c r="G26">
        <f>COVAR(MSFT,LUV)</f>
        <v>4.2021726738332199E-4</v>
      </c>
      <c r="H26">
        <f>COVAR(GE,LUV)</f>
        <v>1.5471032487348094E-3</v>
      </c>
      <c r="I26">
        <f>COVAR(COST,LUV)</f>
        <v>1.5396095075315393E-3</v>
      </c>
      <c r="J26">
        <f>COVAR(XOM,LUV)</f>
        <v>7.7326032809837161E-4</v>
      </c>
      <c r="K26">
        <f>COVAR(LUV,LUV)</f>
        <v>7.1299271149129623E-3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304800</xdr:colOff>
                    <xdr:row>6</xdr:row>
                    <xdr:rowOff>83820</xdr:rowOff>
                  </from>
                  <to>
                    <xdr:col>8</xdr:col>
                    <xdr:colOff>304800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4E532-F470-4EFA-A4EE-F30460BD1B28}">
  <sheetPr codeName="Sheet2"/>
  <dimension ref="A1:N14"/>
  <sheetViews>
    <sheetView tabSelected="1" workbookViewId="0"/>
  </sheetViews>
  <sheetFormatPr defaultRowHeight="13.2" x14ac:dyDescent="0.25"/>
  <sheetData>
    <row r="1" spans="1:14" x14ac:dyDescent="0.25">
      <c r="A1" s="5" t="s">
        <v>14</v>
      </c>
    </row>
    <row r="2" spans="1:14" x14ac:dyDescent="0.25">
      <c r="E2" t="s">
        <v>15</v>
      </c>
    </row>
    <row r="3" spans="1:14" x14ac:dyDescent="0.25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9</v>
      </c>
      <c r="K3" t="s">
        <v>11</v>
      </c>
      <c r="L3" t="s">
        <v>10</v>
      </c>
      <c r="M3" t="s">
        <v>13</v>
      </c>
      <c r="N3" t="s">
        <v>8</v>
      </c>
    </row>
    <row r="4" spans="1:14" x14ac:dyDescent="0.25">
      <c r="B4">
        <v>1.1733520765716959E-3</v>
      </c>
      <c r="C4">
        <v>-1.6404091147705913E-3</v>
      </c>
      <c r="E4">
        <v>7.6567675435601487E-2</v>
      </c>
      <c r="F4">
        <v>1.6474969556052373E-2</v>
      </c>
      <c r="G4">
        <v>0.10092106481251137</v>
      </c>
      <c r="H4">
        <v>3.4444926093866748E-2</v>
      </c>
      <c r="I4">
        <v>0.12312673572620139</v>
      </c>
      <c r="J4">
        <v>0.11924220140785137</v>
      </c>
      <c r="K4">
        <v>1.7371556539950414E-2</v>
      </c>
      <c r="L4">
        <v>0.27600386689012413</v>
      </c>
      <c r="M4">
        <v>0.23584700353784094</v>
      </c>
      <c r="N4">
        <v>0</v>
      </c>
    </row>
    <row r="5" spans="1:14" x14ac:dyDescent="0.25">
      <c r="B5">
        <v>1.1733520765716959E-3</v>
      </c>
      <c r="C5">
        <v>9.2762865824624896E-4</v>
      </c>
      <c r="E5">
        <v>7.6567675435601487E-2</v>
      </c>
      <c r="F5">
        <v>1.6474969556052373E-2</v>
      </c>
      <c r="G5">
        <v>0.10092106481251137</v>
      </c>
      <c r="H5">
        <v>3.4444926093866748E-2</v>
      </c>
      <c r="I5">
        <v>0.12312673572620139</v>
      </c>
      <c r="J5">
        <v>0.11924220140785137</v>
      </c>
      <c r="K5">
        <v>1.7371556539950414E-2</v>
      </c>
      <c r="L5">
        <v>0.27600386689012413</v>
      </c>
      <c r="M5">
        <v>0.23584700353784094</v>
      </c>
      <c r="N5">
        <v>0</v>
      </c>
    </row>
    <row r="6" spans="1:14" x14ac:dyDescent="0.25">
      <c r="B6">
        <v>1.1733520765716959E-3</v>
      </c>
      <c r="C6">
        <v>3.4956664312630892E-3</v>
      </c>
      <c r="E6">
        <v>7.6567675435601487E-2</v>
      </c>
      <c r="F6">
        <v>1.6474969556052373E-2</v>
      </c>
      <c r="G6">
        <v>0.10092106481251137</v>
      </c>
      <c r="H6">
        <v>3.4444926093866748E-2</v>
      </c>
      <c r="I6">
        <v>0.12312673572620139</v>
      </c>
      <c r="J6">
        <v>0.11924220140785137</v>
      </c>
      <c r="K6">
        <v>1.7371556539950414E-2</v>
      </c>
      <c r="L6">
        <v>0.27600386689012413</v>
      </c>
      <c r="M6">
        <v>0.23584700353784094</v>
      </c>
      <c r="N6">
        <v>0</v>
      </c>
    </row>
    <row r="7" spans="1:14" x14ac:dyDescent="0.25">
      <c r="B7">
        <v>1.1733520765716959E-3</v>
      </c>
      <c r="C7">
        <v>6.0637043789029121E-3</v>
      </c>
      <c r="E7">
        <v>7.6567675435601487E-2</v>
      </c>
      <c r="F7">
        <v>1.6474969556052373E-2</v>
      </c>
      <c r="G7">
        <v>0.10092106481251137</v>
      </c>
      <c r="H7">
        <v>3.4444926093866748E-2</v>
      </c>
      <c r="I7">
        <v>0.12312673572620139</v>
      </c>
      <c r="J7">
        <v>0.11924220140785137</v>
      </c>
      <c r="K7">
        <v>1.7371556539950414E-2</v>
      </c>
      <c r="L7">
        <v>0.27600386689012413</v>
      </c>
      <c r="M7">
        <v>0.23584700353784094</v>
      </c>
      <c r="N7">
        <v>0</v>
      </c>
    </row>
    <row r="8" spans="1:14" x14ac:dyDescent="0.25">
      <c r="B8">
        <v>1.1733520765716959E-3</v>
      </c>
      <c r="C8">
        <v>8.6317416280508041E-3</v>
      </c>
      <c r="E8">
        <v>7.6567675435601487E-2</v>
      </c>
      <c r="F8">
        <v>1.6474969556052373E-2</v>
      </c>
      <c r="G8">
        <v>0.10092106481251137</v>
      </c>
      <c r="H8">
        <v>3.4444926093866748E-2</v>
      </c>
      <c r="I8">
        <v>0.12312673572620139</v>
      </c>
      <c r="J8">
        <v>0.11924220140785137</v>
      </c>
      <c r="K8">
        <v>1.7371556539950414E-2</v>
      </c>
      <c r="L8">
        <v>0.27600386689012413</v>
      </c>
      <c r="M8">
        <v>0.23584700353784094</v>
      </c>
      <c r="N8">
        <v>0</v>
      </c>
    </row>
    <row r="9" spans="1:14" x14ac:dyDescent="0.25">
      <c r="B9">
        <v>1.1776835729048847E-3</v>
      </c>
      <c r="C9">
        <v>1.1199779808521271E-2</v>
      </c>
      <c r="E9">
        <v>8.7800312639326847E-2</v>
      </c>
      <c r="F9">
        <v>1.8422121963574904E-2</v>
      </c>
      <c r="G9">
        <v>8.6823276591294365E-2</v>
      </c>
      <c r="H9">
        <v>1.2652576729772177E-2</v>
      </c>
      <c r="I9">
        <v>0.12745842338478686</v>
      </c>
      <c r="J9">
        <v>0.13642605137921843</v>
      </c>
      <c r="K9">
        <v>1.1226579267674555E-2</v>
      </c>
      <c r="L9">
        <v>0.29091104110608229</v>
      </c>
      <c r="M9">
        <v>0.2198132946783472</v>
      </c>
      <c r="N9">
        <v>8.466322259922554E-3</v>
      </c>
    </row>
    <row r="10" spans="1:14" x14ac:dyDescent="0.25">
      <c r="B10">
        <v>1.2355628894957836E-3</v>
      </c>
      <c r="C10">
        <v>1.3767817988991737E-2</v>
      </c>
      <c r="E10">
        <v>0.10678957429086738</v>
      </c>
      <c r="F10">
        <v>2.5513273253049907E-2</v>
      </c>
      <c r="G10">
        <v>3.2112229742970802E-2</v>
      </c>
      <c r="H10">
        <v>0</v>
      </c>
      <c r="I10">
        <v>0.11739904508862511</v>
      </c>
      <c r="J10">
        <v>0.1899848353413007</v>
      </c>
      <c r="K10">
        <v>0</v>
      </c>
      <c r="L10">
        <v>0.32628261002738906</v>
      </c>
      <c r="M10">
        <v>0.15251634576535827</v>
      </c>
      <c r="N10">
        <v>4.9402086490438861E-2</v>
      </c>
    </row>
    <row r="11" spans="1:14" x14ac:dyDescent="0.25">
      <c r="B11">
        <v>1.3053926520777996E-3</v>
      </c>
      <c r="C11">
        <v>1.6335856169462204E-2</v>
      </c>
      <c r="E11">
        <v>7.7012108541059818E-2</v>
      </c>
      <c r="F11">
        <v>4.1340844334015629E-2</v>
      </c>
      <c r="G11">
        <v>0</v>
      </c>
      <c r="H11">
        <v>0</v>
      </c>
      <c r="I11">
        <v>0.11128138402964409</v>
      </c>
      <c r="J11">
        <v>0.21591460826695502</v>
      </c>
      <c r="K11">
        <v>0</v>
      </c>
      <c r="L11">
        <v>0.34057110088755616</v>
      </c>
      <c r="M11">
        <v>0.12591641794637592</v>
      </c>
      <c r="N11">
        <v>8.7963535994393494E-2</v>
      </c>
    </row>
    <row r="12" spans="1:14" x14ac:dyDescent="0.25">
      <c r="B12">
        <v>1.6583865260754362E-3</v>
      </c>
      <c r="C12">
        <v>1.8903892487287521E-2</v>
      </c>
      <c r="E12">
        <v>4.689193879057138E-2</v>
      </c>
      <c r="F12">
        <v>4.8144405455269108E-2</v>
      </c>
      <c r="G12">
        <v>0</v>
      </c>
      <c r="H12">
        <v>0</v>
      </c>
      <c r="I12">
        <v>0</v>
      </c>
      <c r="J12">
        <v>0.37390018703631678</v>
      </c>
      <c r="K12">
        <v>0</v>
      </c>
      <c r="L12">
        <v>0.35469866931818561</v>
      </c>
      <c r="M12">
        <v>0</v>
      </c>
      <c r="N12">
        <v>0.17636479939965732</v>
      </c>
    </row>
    <row r="13" spans="1:14" x14ac:dyDescent="0.25">
      <c r="B13">
        <v>2.4669809561463129E-3</v>
      </c>
      <c r="C13">
        <v>2.1471930667757988E-2</v>
      </c>
      <c r="E13">
        <v>0</v>
      </c>
      <c r="F13">
        <v>2.6046715280349554E-2</v>
      </c>
      <c r="G13">
        <v>0</v>
      </c>
      <c r="H13">
        <v>0</v>
      </c>
      <c r="I13">
        <v>0</v>
      </c>
      <c r="J13">
        <v>0.54976487464137924</v>
      </c>
      <c r="K13">
        <v>0</v>
      </c>
      <c r="L13">
        <v>2.3938483366970867E-2</v>
      </c>
      <c r="M13">
        <v>0</v>
      </c>
      <c r="N13">
        <v>0.40024992671130022</v>
      </c>
    </row>
    <row r="14" spans="1:14" x14ac:dyDescent="0.25">
      <c r="B14">
        <v>7.1298977584110437E-3</v>
      </c>
      <c r="C14">
        <v>2.4039968848228455E-2</v>
      </c>
      <c r="E14">
        <v>0</v>
      </c>
      <c r="F14">
        <v>0</v>
      </c>
      <c r="G14">
        <v>0</v>
      </c>
      <c r="H14">
        <v>0</v>
      </c>
      <c r="I14">
        <v>0</v>
      </c>
      <c r="J14">
        <v>2.1876168222136813E-6</v>
      </c>
      <c r="K14">
        <v>0</v>
      </c>
      <c r="L14">
        <v>0</v>
      </c>
      <c r="M14">
        <v>0</v>
      </c>
      <c r="N14">
        <v>0.99999781238317775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3F594-0193-434A-98D7-B2F8B7F9DFD6}">
  <sheetPr codeName="Sheet1"/>
  <dimension ref="A1:I88"/>
  <sheetViews>
    <sheetView workbookViewId="0"/>
  </sheetViews>
  <sheetFormatPr defaultRowHeight="13.2" x14ac:dyDescent="0.25"/>
  <sheetData>
    <row r="1" spans="1:9" x14ac:dyDescent="0.25">
      <c r="A1" s="2">
        <v>43572</v>
      </c>
      <c r="B1">
        <v>52.27</v>
      </c>
      <c r="C1">
        <v>53.73</v>
      </c>
      <c r="D1">
        <v>51.38</v>
      </c>
      <c r="E1">
        <v>52.76</v>
      </c>
      <c r="F1">
        <v>52.76</v>
      </c>
      <c r="G1">
        <v>47399585</v>
      </c>
      <c r="H1">
        <v>0</v>
      </c>
      <c r="I1" t="s">
        <v>33</v>
      </c>
    </row>
    <row r="2" spans="1:9" x14ac:dyDescent="0.25">
      <c r="A2" s="2">
        <v>43553</v>
      </c>
      <c r="B2">
        <v>56.28</v>
      </c>
      <c r="C2">
        <v>56.58</v>
      </c>
      <c r="D2">
        <v>48.5</v>
      </c>
      <c r="E2">
        <v>51.91</v>
      </c>
      <c r="F2">
        <v>51.91</v>
      </c>
      <c r="G2">
        <v>131602776</v>
      </c>
      <c r="H2">
        <v>0.16</v>
      </c>
      <c r="I2">
        <f t="shared" ref="I2:I33" si="0">(F2-F3)/F3</f>
        <v>-7.0922061976711345E-2</v>
      </c>
    </row>
    <row r="3" spans="1:9" x14ac:dyDescent="0.25">
      <c r="A3" s="2">
        <v>43524</v>
      </c>
      <c r="B3">
        <v>56.99</v>
      </c>
      <c r="C3">
        <v>58.77</v>
      </c>
      <c r="D3">
        <v>53.31</v>
      </c>
      <c r="E3">
        <v>56.04</v>
      </c>
      <c r="F3">
        <v>55.872599999999998</v>
      </c>
      <c r="G3">
        <v>105775523</v>
      </c>
      <c r="H3">
        <v>0</v>
      </c>
      <c r="I3">
        <f t="shared" si="0"/>
        <v>-1.2684130170488351E-2</v>
      </c>
    </row>
    <row r="4" spans="1:9" x14ac:dyDescent="0.25">
      <c r="A4" s="2">
        <v>43496</v>
      </c>
      <c r="B4">
        <v>46.05</v>
      </c>
      <c r="C4">
        <v>57.814999999999998</v>
      </c>
      <c r="D4">
        <v>44.61</v>
      </c>
      <c r="E4">
        <v>56.76</v>
      </c>
      <c r="F4">
        <v>56.590400000000002</v>
      </c>
      <c r="G4">
        <v>104027191</v>
      </c>
      <c r="H4">
        <v>0</v>
      </c>
      <c r="I4">
        <f t="shared" si="0"/>
        <v>0.22117083970816415</v>
      </c>
    </row>
    <row r="5" spans="1:9" x14ac:dyDescent="0.25">
      <c r="A5" s="2">
        <v>43465</v>
      </c>
      <c r="B5">
        <v>54.9</v>
      </c>
      <c r="C5">
        <v>55.68</v>
      </c>
      <c r="D5">
        <v>44.28</v>
      </c>
      <c r="E5">
        <v>46.48</v>
      </c>
      <c r="F5">
        <v>46.341099999999997</v>
      </c>
      <c r="G5">
        <v>91518485</v>
      </c>
      <c r="H5">
        <v>0.16</v>
      </c>
      <c r="I5">
        <f t="shared" si="0"/>
        <v>-0.14629446430972901</v>
      </c>
    </row>
    <row r="6" spans="1:9" x14ac:dyDescent="0.25">
      <c r="A6" s="2">
        <v>43434</v>
      </c>
      <c r="B6">
        <v>49.3</v>
      </c>
      <c r="C6">
        <v>54.655000000000001</v>
      </c>
      <c r="D6">
        <v>49.3</v>
      </c>
      <c r="E6">
        <v>54.61</v>
      </c>
      <c r="F6">
        <v>54.282299999999999</v>
      </c>
      <c r="G6">
        <v>101261595</v>
      </c>
      <c r="H6">
        <v>0</v>
      </c>
      <c r="I6">
        <f t="shared" si="0"/>
        <v>0.11221913968536269</v>
      </c>
    </row>
    <row r="7" spans="1:9" x14ac:dyDescent="0.25">
      <c r="A7" s="2">
        <v>43404</v>
      </c>
      <c r="B7">
        <v>62.61</v>
      </c>
      <c r="C7">
        <v>63.2</v>
      </c>
      <c r="D7">
        <v>47.1</v>
      </c>
      <c r="E7">
        <v>49.1</v>
      </c>
      <c r="F7">
        <v>48.805399999999999</v>
      </c>
      <c r="G7">
        <v>143454663</v>
      </c>
      <c r="H7">
        <v>0</v>
      </c>
      <c r="I7">
        <f t="shared" si="0"/>
        <v>-0.21377101681345076</v>
      </c>
    </row>
    <row r="8" spans="1:9" x14ac:dyDescent="0.25">
      <c r="A8" s="2">
        <v>43371</v>
      </c>
      <c r="B8">
        <v>61.43</v>
      </c>
      <c r="C8">
        <v>64.02</v>
      </c>
      <c r="D8">
        <v>60.66</v>
      </c>
      <c r="E8">
        <v>62.45</v>
      </c>
      <c r="F8">
        <v>62.075299999999999</v>
      </c>
      <c r="G8">
        <v>74909396</v>
      </c>
      <c r="H8">
        <v>0</v>
      </c>
      <c r="I8">
        <f t="shared" si="0"/>
        <v>1.8760195758564385E-2</v>
      </c>
    </row>
    <row r="9" spans="1:9" x14ac:dyDescent="0.25">
      <c r="A9" s="2">
        <v>43343</v>
      </c>
      <c r="B9">
        <v>58.12</v>
      </c>
      <c r="C9">
        <v>62.2</v>
      </c>
      <c r="D9">
        <v>55.61</v>
      </c>
      <c r="E9">
        <v>61.3</v>
      </c>
      <c r="F9">
        <v>60.932200000000002</v>
      </c>
      <c r="G9">
        <v>83211004</v>
      </c>
      <c r="H9">
        <v>0.16</v>
      </c>
      <c r="I9">
        <f t="shared" si="0"/>
        <v>5.6753578749839662E-2</v>
      </c>
    </row>
    <row r="10" spans="1:9" x14ac:dyDescent="0.25">
      <c r="A10" s="2">
        <v>43312</v>
      </c>
      <c r="B10">
        <v>50.63</v>
      </c>
      <c r="C10">
        <v>59.33</v>
      </c>
      <c r="D10">
        <v>50.5</v>
      </c>
      <c r="E10">
        <v>58.16</v>
      </c>
      <c r="F10">
        <v>57.659799999999997</v>
      </c>
      <c r="G10">
        <v>109639140</v>
      </c>
      <c r="H10">
        <v>0</v>
      </c>
      <c r="I10">
        <f t="shared" si="0"/>
        <v>0.14308201037222651</v>
      </c>
    </row>
    <row r="11" spans="1:9" x14ac:dyDescent="0.25">
      <c r="A11" s="2">
        <v>43280</v>
      </c>
      <c r="B11">
        <v>51.2</v>
      </c>
      <c r="C11">
        <v>53.54</v>
      </c>
      <c r="D11">
        <v>49.93</v>
      </c>
      <c r="E11">
        <v>50.88</v>
      </c>
      <c r="F11">
        <v>50.442399999999999</v>
      </c>
      <c r="G11">
        <v>135107394</v>
      </c>
      <c r="H11">
        <v>0.16</v>
      </c>
      <c r="I11">
        <f t="shared" si="0"/>
        <v>-7.8443801751119371E-4</v>
      </c>
    </row>
    <row r="12" spans="1:9" x14ac:dyDescent="0.25">
      <c r="A12" s="2">
        <v>43251</v>
      </c>
      <c r="B12">
        <v>52.8</v>
      </c>
      <c r="C12">
        <v>53.61</v>
      </c>
      <c r="D12">
        <v>50.2</v>
      </c>
      <c r="E12">
        <v>51.08</v>
      </c>
      <c r="F12">
        <v>50.481999999999999</v>
      </c>
      <c r="G12">
        <v>139140100</v>
      </c>
      <c r="H12">
        <v>0</v>
      </c>
      <c r="I12">
        <f t="shared" si="0"/>
        <v>-3.3124886279842593E-2</v>
      </c>
    </row>
    <row r="13" spans="1:9" x14ac:dyDescent="0.25">
      <c r="A13" s="2">
        <v>43220</v>
      </c>
      <c r="B13">
        <v>57.19</v>
      </c>
      <c r="C13">
        <v>57.19</v>
      </c>
      <c r="D13">
        <v>51</v>
      </c>
      <c r="E13">
        <v>52.83</v>
      </c>
      <c r="F13">
        <v>52.211500000000001</v>
      </c>
      <c r="G13">
        <v>113043313</v>
      </c>
      <c r="H13">
        <v>0</v>
      </c>
      <c r="I13">
        <f t="shared" si="0"/>
        <v>-7.7688511095330454E-2</v>
      </c>
    </row>
    <row r="14" spans="1:9" x14ac:dyDescent="0.25">
      <c r="A14" s="2">
        <v>43188</v>
      </c>
      <c r="B14">
        <v>57.78</v>
      </c>
      <c r="C14">
        <v>61.375</v>
      </c>
      <c r="D14">
        <v>55.87</v>
      </c>
      <c r="E14">
        <v>57.28</v>
      </c>
      <c r="F14">
        <v>56.609400000000001</v>
      </c>
      <c r="G14">
        <v>105809466</v>
      </c>
      <c r="H14">
        <v>0.125</v>
      </c>
      <c r="I14">
        <f t="shared" si="0"/>
        <v>-7.5577878875535921E-3</v>
      </c>
    </row>
    <row r="15" spans="1:9" x14ac:dyDescent="0.25">
      <c r="A15" s="2">
        <v>43159</v>
      </c>
      <c r="B15">
        <v>60.51</v>
      </c>
      <c r="C15">
        <v>61.12</v>
      </c>
      <c r="D15">
        <v>54.011000000000003</v>
      </c>
      <c r="E15">
        <v>57.84</v>
      </c>
      <c r="F15">
        <v>57.040500000000002</v>
      </c>
      <c r="G15">
        <v>90247458</v>
      </c>
      <c r="H15">
        <v>0</v>
      </c>
      <c r="I15">
        <f t="shared" si="0"/>
        <v>-4.868286093112846E-2</v>
      </c>
    </row>
    <row r="16" spans="1:9" x14ac:dyDescent="0.25">
      <c r="A16" s="2">
        <v>43131</v>
      </c>
      <c r="B16">
        <v>65.91</v>
      </c>
      <c r="C16">
        <v>66.52</v>
      </c>
      <c r="D16">
        <v>59.25</v>
      </c>
      <c r="E16">
        <v>60.8</v>
      </c>
      <c r="F16">
        <v>59.959499999999998</v>
      </c>
      <c r="G16">
        <v>115795175</v>
      </c>
      <c r="H16">
        <v>0</v>
      </c>
      <c r="I16">
        <f t="shared" si="0"/>
        <v>-7.1047775748195444E-2</v>
      </c>
    </row>
    <row r="17" spans="1:9" x14ac:dyDescent="0.25">
      <c r="A17" s="2">
        <v>43098</v>
      </c>
      <c r="B17">
        <v>60.51</v>
      </c>
      <c r="C17">
        <v>66.984999999999999</v>
      </c>
      <c r="D17">
        <v>59.51</v>
      </c>
      <c r="E17">
        <v>65.45</v>
      </c>
      <c r="F17">
        <v>64.545299999999997</v>
      </c>
      <c r="G17">
        <v>85218377</v>
      </c>
      <c r="H17">
        <v>0.125</v>
      </c>
      <c r="I17">
        <f t="shared" si="0"/>
        <v>8.0994218646372657E-2</v>
      </c>
    </row>
    <row r="18" spans="1:9" x14ac:dyDescent="0.25">
      <c r="A18" s="2">
        <v>43069</v>
      </c>
      <c r="B18">
        <v>54.03</v>
      </c>
      <c r="C18">
        <v>61.51</v>
      </c>
      <c r="D18">
        <v>52.78</v>
      </c>
      <c r="E18">
        <v>60.67</v>
      </c>
      <c r="F18">
        <v>59.709200000000003</v>
      </c>
      <c r="G18">
        <v>91033188</v>
      </c>
      <c r="H18">
        <v>0</v>
      </c>
      <c r="I18">
        <f t="shared" si="0"/>
        <v>0.126437779089971</v>
      </c>
    </row>
    <row r="19" spans="1:9" x14ac:dyDescent="0.25">
      <c r="A19" s="2">
        <v>43039</v>
      </c>
      <c r="B19">
        <v>56.02</v>
      </c>
      <c r="C19">
        <v>59.89</v>
      </c>
      <c r="D19">
        <v>53.54</v>
      </c>
      <c r="E19">
        <v>53.86</v>
      </c>
      <c r="F19">
        <v>53.007100000000001</v>
      </c>
      <c r="G19">
        <v>118508974</v>
      </c>
      <c r="H19">
        <v>0</v>
      </c>
      <c r="I19">
        <f t="shared" si="0"/>
        <v>-3.7870166172052924E-2</v>
      </c>
    </row>
    <row r="20" spans="1:9" x14ac:dyDescent="0.25">
      <c r="A20" s="2">
        <v>43007</v>
      </c>
      <c r="B20">
        <v>52.35</v>
      </c>
      <c r="C20">
        <v>56.65</v>
      </c>
      <c r="D20">
        <v>49.76</v>
      </c>
      <c r="E20">
        <v>55.98</v>
      </c>
      <c r="F20">
        <v>55.093499999999999</v>
      </c>
      <c r="G20">
        <v>116275938</v>
      </c>
      <c r="H20">
        <v>0</v>
      </c>
      <c r="I20">
        <f t="shared" si="0"/>
        <v>7.364808640086673E-2</v>
      </c>
    </row>
    <row r="21" spans="1:9" x14ac:dyDescent="0.25">
      <c r="A21" s="2">
        <v>42978</v>
      </c>
      <c r="B21">
        <v>55.88</v>
      </c>
      <c r="C21">
        <v>56.87</v>
      </c>
      <c r="D21">
        <v>50.49</v>
      </c>
      <c r="E21">
        <v>52.14</v>
      </c>
      <c r="F21">
        <v>51.314300000000003</v>
      </c>
      <c r="G21">
        <v>128363672</v>
      </c>
      <c r="H21">
        <v>0.125</v>
      </c>
      <c r="I21">
        <f t="shared" si="0"/>
        <v>-5.8511946043732985E-2</v>
      </c>
    </row>
    <row r="22" spans="1:9" x14ac:dyDescent="0.25">
      <c r="A22" s="2">
        <v>42947</v>
      </c>
      <c r="B22">
        <v>62.52</v>
      </c>
      <c r="C22">
        <v>64.39</v>
      </c>
      <c r="D22">
        <v>53.77</v>
      </c>
      <c r="E22">
        <v>55.51</v>
      </c>
      <c r="F22">
        <v>54.503399999999999</v>
      </c>
      <c r="G22">
        <v>105900682</v>
      </c>
      <c r="H22">
        <v>0</v>
      </c>
      <c r="I22">
        <f t="shared" si="0"/>
        <v>-0.10669494470049103</v>
      </c>
    </row>
    <row r="23" spans="1:9" x14ac:dyDescent="0.25">
      <c r="A23" s="2">
        <v>42916</v>
      </c>
      <c r="B23">
        <v>60.18</v>
      </c>
      <c r="C23">
        <v>62.75</v>
      </c>
      <c r="D23">
        <v>57.63</v>
      </c>
      <c r="E23">
        <v>62.14</v>
      </c>
      <c r="F23">
        <v>61.013199999999998</v>
      </c>
      <c r="G23">
        <v>105489900</v>
      </c>
      <c r="H23">
        <v>0.125</v>
      </c>
      <c r="I23">
        <f t="shared" si="0"/>
        <v>3.6234899294663489E-2</v>
      </c>
    </row>
    <row r="24" spans="1:9" x14ac:dyDescent="0.25">
      <c r="A24" s="2">
        <v>42886</v>
      </c>
      <c r="B24">
        <v>56.52</v>
      </c>
      <c r="C24">
        <v>61.19</v>
      </c>
      <c r="D24">
        <v>56.17</v>
      </c>
      <c r="E24">
        <v>60.09</v>
      </c>
      <c r="F24">
        <v>58.8797</v>
      </c>
      <c r="G24">
        <v>89232137</v>
      </c>
      <c r="H24">
        <v>0</v>
      </c>
      <c r="I24">
        <f t="shared" si="0"/>
        <v>6.8835692904223658E-2</v>
      </c>
    </row>
    <row r="25" spans="1:9" x14ac:dyDescent="0.25">
      <c r="A25" s="2">
        <v>42853</v>
      </c>
      <c r="B25">
        <v>53.72</v>
      </c>
      <c r="C25">
        <v>57.84</v>
      </c>
      <c r="D25">
        <v>52.88</v>
      </c>
      <c r="E25">
        <v>56.22</v>
      </c>
      <c r="F25">
        <v>55.087699999999998</v>
      </c>
      <c r="G25">
        <v>91115769</v>
      </c>
      <c r="H25">
        <v>0</v>
      </c>
      <c r="I25">
        <f t="shared" si="0"/>
        <v>4.5759835374697196E-2</v>
      </c>
    </row>
    <row r="26" spans="1:9" x14ac:dyDescent="0.25">
      <c r="A26" s="2">
        <v>42825</v>
      </c>
      <c r="B26">
        <v>58.47</v>
      </c>
      <c r="C26">
        <v>59.68</v>
      </c>
      <c r="D26">
        <v>51.11</v>
      </c>
      <c r="E26">
        <v>53.76</v>
      </c>
      <c r="F26">
        <v>52.677199999999999</v>
      </c>
      <c r="G26">
        <v>137622080</v>
      </c>
      <c r="H26">
        <v>0.1</v>
      </c>
      <c r="I26">
        <f t="shared" si="0"/>
        <v>-6.8258800098343869E-2</v>
      </c>
    </row>
    <row r="27" spans="1:9" x14ac:dyDescent="0.25">
      <c r="A27" s="2">
        <v>42794</v>
      </c>
      <c r="B27">
        <v>52.55</v>
      </c>
      <c r="C27">
        <v>58.57</v>
      </c>
      <c r="D27">
        <v>52.18</v>
      </c>
      <c r="E27">
        <v>57.8</v>
      </c>
      <c r="F27">
        <v>56.536299999999997</v>
      </c>
      <c r="G27">
        <v>99933606</v>
      </c>
      <c r="H27">
        <v>0</v>
      </c>
      <c r="I27">
        <f t="shared" si="0"/>
        <v>0.10494973263704294</v>
      </c>
    </row>
    <row r="28" spans="1:9" x14ac:dyDescent="0.25">
      <c r="A28" s="2">
        <v>42766</v>
      </c>
      <c r="B28">
        <v>50.4</v>
      </c>
      <c r="C28">
        <v>54.18</v>
      </c>
      <c r="D28">
        <v>48.710999999999999</v>
      </c>
      <c r="E28">
        <v>52.31</v>
      </c>
      <c r="F28">
        <v>51.166400000000003</v>
      </c>
      <c r="G28">
        <v>123704596</v>
      </c>
      <c r="H28">
        <v>0</v>
      </c>
      <c r="I28">
        <f t="shared" si="0"/>
        <v>4.9558567724572601E-2</v>
      </c>
    </row>
    <row r="29" spans="1:9" x14ac:dyDescent="0.25">
      <c r="A29" s="2">
        <v>42734</v>
      </c>
      <c r="B29">
        <v>46.36</v>
      </c>
      <c r="C29">
        <v>51.31</v>
      </c>
      <c r="D29">
        <v>46.185000000000002</v>
      </c>
      <c r="E29">
        <v>49.84</v>
      </c>
      <c r="F29">
        <v>48.750399999999999</v>
      </c>
      <c r="G29">
        <v>104655529</v>
      </c>
      <c r="H29">
        <v>0.1</v>
      </c>
      <c r="I29">
        <f t="shared" si="0"/>
        <v>7.1540984183085743E-2</v>
      </c>
    </row>
    <row r="30" spans="1:9" x14ac:dyDescent="0.25">
      <c r="A30" s="2">
        <v>42704</v>
      </c>
      <c r="B30">
        <v>39.979999999999997</v>
      </c>
      <c r="C30">
        <v>47.99</v>
      </c>
      <c r="D30">
        <v>39.33</v>
      </c>
      <c r="E30">
        <v>46.61</v>
      </c>
      <c r="F30">
        <v>45.495600000000003</v>
      </c>
      <c r="G30">
        <v>147979836</v>
      </c>
      <c r="H30">
        <v>0</v>
      </c>
      <c r="I30">
        <f t="shared" si="0"/>
        <v>0.16379654357368711</v>
      </c>
    </row>
    <row r="31" spans="1:9" x14ac:dyDescent="0.25">
      <c r="A31" s="2">
        <v>42674</v>
      </c>
      <c r="B31">
        <v>38.85</v>
      </c>
      <c r="C31">
        <v>42.93</v>
      </c>
      <c r="D31">
        <v>36.909999999999997</v>
      </c>
      <c r="E31">
        <v>40.049999999999997</v>
      </c>
      <c r="F31">
        <v>39.092399999999998</v>
      </c>
      <c r="G31">
        <v>211850483</v>
      </c>
      <c r="H31">
        <v>0</v>
      </c>
      <c r="I31">
        <f t="shared" si="0"/>
        <v>2.9825975627104109E-2</v>
      </c>
    </row>
    <row r="32" spans="1:9" x14ac:dyDescent="0.25">
      <c r="A32" s="2">
        <v>42643</v>
      </c>
      <c r="B32">
        <v>36.880000000000003</v>
      </c>
      <c r="C32">
        <v>39.18</v>
      </c>
      <c r="D32">
        <v>36.31</v>
      </c>
      <c r="E32">
        <v>38.89</v>
      </c>
      <c r="F32">
        <v>37.9602</v>
      </c>
      <c r="G32">
        <v>134019754</v>
      </c>
      <c r="H32">
        <v>0</v>
      </c>
      <c r="I32">
        <f t="shared" si="0"/>
        <v>5.450272513625691E-2</v>
      </c>
    </row>
    <row r="33" spans="1:9" x14ac:dyDescent="0.25">
      <c r="A33" s="2">
        <v>42613</v>
      </c>
      <c r="B33">
        <v>37.159999999999997</v>
      </c>
      <c r="C33">
        <v>38.03</v>
      </c>
      <c r="D33">
        <v>35.42</v>
      </c>
      <c r="E33">
        <v>36.880000000000003</v>
      </c>
      <c r="F33">
        <v>35.998199999999997</v>
      </c>
      <c r="G33">
        <v>140716121</v>
      </c>
      <c r="H33">
        <v>0.1</v>
      </c>
      <c r="I33">
        <f t="shared" si="0"/>
        <v>-7.8553287163619966E-4</v>
      </c>
    </row>
    <row r="34" spans="1:9" x14ac:dyDescent="0.25">
      <c r="A34" s="2">
        <v>42580</v>
      </c>
      <c r="B34">
        <v>39.26</v>
      </c>
      <c r="C34">
        <v>43.570999999999998</v>
      </c>
      <c r="D34">
        <v>37.01</v>
      </c>
      <c r="E34">
        <v>37.01</v>
      </c>
      <c r="F34">
        <v>36.026499999999999</v>
      </c>
      <c r="G34">
        <v>173101981</v>
      </c>
      <c r="H34">
        <v>0</v>
      </c>
      <c r="I34">
        <f t="shared" ref="I34:I65" si="1">(F34-F35)/F35</f>
        <v>-5.6107210228463655E-2</v>
      </c>
    </row>
    <row r="35" spans="1:9" x14ac:dyDescent="0.25">
      <c r="A35" s="2">
        <v>42551</v>
      </c>
      <c r="B35">
        <v>42.5</v>
      </c>
      <c r="C35">
        <v>44.33</v>
      </c>
      <c r="D35">
        <v>36.479999999999997</v>
      </c>
      <c r="E35">
        <v>39.21</v>
      </c>
      <c r="F35">
        <v>38.167999999999999</v>
      </c>
      <c r="G35">
        <v>168438888</v>
      </c>
      <c r="H35">
        <v>0.1</v>
      </c>
      <c r="I35">
        <f t="shared" si="1"/>
        <v>-7.4766740278723834E-2</v>
      </c>
    </row>
    <row r="36" spans="1:9" x14ac:dyDescent="0.25">
      <c r="A36" s="2">
        <v>42521</v>
      </c>
      <c r="B36">
        <v>44.63</v>
      </c>
      <c r="C36">
        <v>45</v>
      </c>
      <c r="D36">
        <v>40.74</v>
      </c>
      <c r="E36">
        <v>42.48</v>
      </c>
      <c r="F36">
        <v>41.252299999999998</v>
      </c>
      <c r="G36">
        <v>113039273</v>
      </c>
      <c r="H36">
        <v>0</v>
      </c>
      <c r="I36">
        <f t="shared" si="1"/>
        <v>-4.7748425698509726E-2</v>
      </c>
    </row>
    <row r="37" spans="1:9" x14ac:dyDescent="0.25">
      <c r="A37" s="2">
        <v>42489</v>
      </c>
      <c r="B37">
        <v>44.4</v>
      </c>
      <c r="C37">
        <v>48</v>
      </c>
      <c r="D37">
        <v>43.0901</v>
      </c>
      <c r="E37">
        <v>44.61</v>
      </c>
      <c r="F37">
        <v>43.320799999999998</v>
      </c>
      <c r="G37">
        <v>136927285</v>
      </c>
      <c r="H37">
        <v>0</v>
      </c>
      <c r="I37">
        <f t="shared" si="1"/>
        <v>-4.2408626075443661E-3</v>
      </c>
    </row>
    <row r="38" spans="1:9" x14ac:dyDescent="0.25">
      <c r="A38" s="2">
        <v>42460</v>
      </c>
      <c r="B38">
        <v>42.22</v>
      </c>
      <c r="C38">
        <v>45.39</v>
      </c>
      <c r="D38">
        <v>39.99</v>
      </c>
      <c r="E38">
        <v>44.8</v>
      </c>
      <c r="F38">
        <v>43.505299999999998</v>
      </c>
      <c r="G38">
        <v>135667217</v>
      </c>
      <c r="H38">
        <v>7.4999999999999997E-2</v>
      </c>
      <c r="I38">
        <f t="shared" si="1"/>
        <v>6.9822627803638862E-2</v>
      </c>
    </row>
    <row r="39" spans="1:9" x14ac:dyDescent="0.25">
      <c r="A39" s="2">
        <v>42429</v>
      </c>
      <c r="B39">
        <v>37.619999999999997</v>
      </c>
      <c r="C39">
        <v>42.86</v>
      </c>
      <c r="D39">
        <v>33.96</v>
      </c>
      <c r="E39">
        <v>41.95</v>
      </c>
      <c r="F39">
        <v>40.665900000000001</v>
      </c>
      <c r="G39">
        <v>146456568</v>
      </c>
      <c r="H39">
        <v>0</v>
      </c>
      <c r="I39">
        <f t="shared" si="1"/>
        <v>0.11509964791435867</v>
      </c>
    </row>
    <row r="40" spans="1:9" x14ac:dyDescent="0.25">
      <c r="A40" s="2">
        <v>42398</v>
      </c>
      <c r="B40">
        <v>41.7</v>
      </c>
      <c r="C40">
        <v>43.5</v>
      </c>
      <c r="D40">
        <v>35.51</v>
      </c>
      <c r="E40">
        <v>37.619999999999997</v>
      </c>
      <c r="F40">
        <v>36.468400000000003</v>
      </c>
      <c r="G40">
        <v>154042697</v>
      </c>
      <c r="H40">
        <v>0</v>
      </c>
      <c r="I40">
        <f t="shared" si="1"/>
        <v>-0.12633588792077022</v>
      </c>
    </row>
    <row r="41" spans="1:9" x14ac:dyDescent="0.25">
      <c r="A41" s="2">
        <v>42369</v>
      </c>
      <c r="B41">
        <v>46</v>
      </c>
      <c r="C41">
        <v>51.34</v>
      </c>
      <c r="D41">
        <v>42.66</v>
      </c>
      <c r="E41">
        <v>43.06</v>
      </c>
      <c r="F41">
        <v>41.741900000000001</v>
      </c>
      <c r="G41">
        <v>138904336</v>
      </c>
      <c r="H41">
        <v>7.4999999999999997E-2</v>
      </c>
      <c r="I41">
        <f t="shared" si="1"/>
        <v>-5.9900994558754653E-2</v>
      </c>
    </row>
    <row r="42" spans="1:9" x14ac:dyDescent="0.25">
      <c r="A42" s="2">
        <v>42338</v>
      </c>
      <c r="B42">
        <v>46.47</v>
      </c>
      <c r="C42">
        <v>47.76</v>
      </c>
      <c r="D42">
        <v>44.680199999999999</v>
      </c>
      <c r="E42">
        <v>45.88</v>
      </c>
      <c r="F42">
        <v>44.401600000000002</v>
      </c>
      <c r="G42">
        <v>99993064</v>
      </c>
      <c r="H42">
        <v>0</v>
      </c>
      <c r="I42">
        <f t="shared" si="1"/>
        <v>-8.8574591949712247E-3</v>
      </c>
    </row>
    <row r="43" spans="1:9" x14ac:dyDescent="0.25">
      <c r="A43" s="2">
        <v>42307</v>
      </c>
      <c r="B43">
        <v>37.82</v>
      </c>
      <c r="C43">
        <v>46.95</v>
      </c>
      <c r="D43">
        <v>37</v>
      </c>
      <c r="E43">
        <v>46.29</v>
      </c>
      <c r="F43">
        <v>44.798400000000001</v>
      </c>
      <c r="G43">
        <v>163801408</v>
      </c>
      <c r="H43">
        <v>0</v>
      </c>
      <c r="I43">
        <f t="shared" si="1"/>
        <v>0.21687496434809292</v>
      </c>
    </row>
    <row r="44" spans="1:9" x14ac:dyDescent="0.25">
      <c r="A44" s="2">
        <v>42277</v>
      </c>
      <c r="B44">
        <v>36.17</v>
      </c>
      <c r="C44">
        <v>40</v>
      </c>
      <c r="D44">
        <v>36</v>
      </c>
      <c r="E44">
        <v>38.04</v>
      </c>
      <c r="F44">
        <v>36.814300000000003</v>
      </c>
      <c r="G44">
        <v>140450003</v>
      </c>
      <c r="H44">
        <v>0</v>
      </c>
      <c r="I44">
        <f t="shared" si="1"/>
        <v>3.6514497119721621E-2</v>
      </c>
    </row>
    <row r="45" spans="1:9" x14ac:dyDescent="0.25">
      <c r="A45" s="2">
        <v>42247</v>
      </c>
      <c r="B45">
        <v>36.659999999999997</v>
      </c>
      <c r="C45">
        <v>40.869999999999997</v>
      </c>
      <c r="D45">
        <v>33.32</v>
      </c>
      <c r="E45">
        <v>36.700000000000003</v>
      </c>
      <c r="F45">
        <v>35.517400000000002</v>
      </c>
      <c r="G45">
        <v>178487423</v>
      </c>
      <c r="H45">
        <v>7.4999999999999997E-2</v>
      </c>
      <c r="I45">
        <f t="shared" si="1"/>
        <v>1.5702793673126884E-2</v>
      </c>
    </row>
    <row r="46" spans="1:9" x14ac:dyDescent="0.25">
      <c r="A46" s="2">
        <v>42216</v>
      </c>
      <c r="B46">
        <v>33.86</v>
      </c>
      <c r="C46">
        <v>38.695</v>
      </c>
      <c r="D46">
        <v>31.36</v>
      </c>
      <c r="E46">
        <v>36.200000000000003</v>
      </c>
      <c r="F46">
        <v>34.968299999999999</v>
      </c>
      <c r="G46">
        <v>195240903</v>
      </c>
      <c r="H46">
        <v>0</v>
      </c>
      <c r="I46">
        <f t="shared" si="1"/>
        <v>9.3986691319323898E-2</v>
      </c>
    </row>
    <row r="47" spans="1:9" x14ac:dyDescent="0.25">
      <c r="A47" s="2">
        <v>42185</v>
      </c>
      <c r="B47">
        <v>37.11</v>
      </c>
      <c r="C47">
        <v>38.299999999999997</v>
      </c>
      <c r="D47">
        <v>33.020000000000003</v>
      </c>
      <c r="E47">
        <v>33.090000000000003</v>
      </c>
      <c r="F47">
        <v>31.964099999999998</v>
      </c>
      <c r="G47">
        <v>238160807</v>
      </c>
      <c r="H47">
        <v>7.4999999999999997E-2</v>
      </c>
      <c r="I47">
        <f t="shared" si="1"/>
        <v>-0.10511330231308068</v>
      </c>
    </row>
    <row r="48" spans="1:9" x14ac:dyDescent="0.25">
      <c r="A48" s="2">
        <v>42153</v>
      </c>
      <c r="B48">
        <v>40.83</v>
      </c>
      <c r="C48">
        <v>43.45</v>
      </c>
      <c r="D48">
        <v>35.54</v>
      </c>
      <c r="E48">
        <v>37.049999999999997</v>
      </c>
      <c r="F48">
        <v>35.718600000000002</v>
      </c>
      <c r="G48">
        <v>185920091</v>
      </c>
      <c r="H48">
        <v>0</v>
      </c>
      <c r="I48">
        <f t="shared" si="1"/>
        <v>-8.6539223834793094E-2</v>
      </c>
    </row>
    <row r="49" spans="1:9" x14ac:dyDescent="0.25">
      <c r="A49" s="2">
        <v>42124</v>
      </c>
      <c r="B49">
        <v>44.07</v>
      </c>
      <c r="C49">
        <v>44.19</v>
      </c>
      <c r="D49">
        <v>40.1</v>
      </c>
      <c r="E49">
        <v>40.56</v>
      </c>
      <c r="F49">
        <v>39.102499999999999</v>
      </c>
      <c r="G49">
        <v>140860110</v>
      </c>
      <c r="H49">
        <v>0</v>
      </c>
      <c r="I49">
        <f t="shared" si="1"/>
        <v>-8.4424266122819849E-2</v>
      </c>
    </row>
    <row r="50" spans="1:9" x14ac:dyDescent="0.25">
      <c r="A50" s="2">
        <v>42094</v>
      </c>
      <c r="B50">
        <v>43.63</v>
      </c>
      <c r="C50">
        <v>46.5</v>
      </c>
      <c r="D50">
        <v>42.21</v>
      </c>
      <c r="E50">
        <v>44.3</v>
      </c>
      <c r="F50">
        <v>42.708100000000002</v>
      </c>
      <c r="G50">
        <v>133228860</v>
      </c>
      <c r="H50">
        <v>0.06</v>
      </c>
      <c r="I50">
        <f t="shared" si="1"/>
        <v>2.5914440069854671E-2</v>
      </c>
    </row>
    <row r="51" spans="1:9" x14ac:dyDescent="0.25">
      <c r="A51" s="2">
        <v>42062</v>
      </c>
      <c r="B51">
        <v>44.94</v>
      </c>
      <c r="C51">
        <v>45.489899999999999</v>
      </c>
      <c r="D51">
        <v>42.19</v>
      </c>
      <c r="E51">
        <v>43.24</v>
      </c>
      <c r="F51">
        <v>41.629300000000001</v>
      </c>
      <c r="G51">
        <v>150687774</v>
      </c>
      <c r="H51">
        <v>0</v>
      </c>
      <c r="I51">
        <f t="shared" si="1"/>
        <v>-4.2940793754066418E-2</v>
      </c>
    </row>
    <row r="52" spans="1:9" x14ac:dyDescent="0.25">
      <c r="A52" s="2">
        <v>42034</v>
      </c>
      <c r="B52">
        <v>42.69</v>
      </c>
      <c r="C52">
        <v>47.1738</v>
      </c>
      <c r="D52">
        <v>38.26</v>
      </c>
      <c r="E52">
        <v>45.18</v>
      </c>
      <c r="F52">
        <v>43.497100000000003</v>
      </c>
      <c r="G52">
        <v>187090319</v>
      </c>
      <c r="H52">
        <v>0</v>
      </c>
      <c r="I52">
        <f t="shared" si="1"/>
        <v>6.7581166121795877E-2</v>
      </c>
    </row>
    <row r="53" spans="1:9" x14ac:dyDescent="0.25">
      <c r="A53" s="2">
        <v>42004</v>
      </c>
      <c r="B53">
        <v>42.24</v>
      </c>
      <c r="C53">
        <v>43.187199999999997</v>
      </c>
      <c r="D53">
        <v>38.729999999999997</v>
      </c>
      <c r="E53">
        <v>42.32</v>
      </c>
      <c r="F53">
        <v>40.743600000000001</v>
      </c>
      <c r="G53">
        <v>194325354</v>
      </c>
      <c r="H53">
        <v>0.06</v>
      </c>
      <c r="I53">
        <f t="shared" si="1"/>
        <v>1.344675770464885E-2</v>
      </c>
    </row>
    <row r="54" spans="1:9" x14ac:dyDescent="0.25">
      <c r="A54" s="2">
        <v>41971</v>
      </c>
      <c r="B54">
        <v>34.549999999999997</v>
      </c>
      <c r="C54">
        <v>42.42</v>
      </c>
      <c r="D54">
        <v>34.47</v>
      </c>
      <c r="E54">
        <v>41.82</v>
      </c>
      <c r="F54">
        <v>40.203000000000003</v>
      </c>
      <c r="G54">
        <v>150297301</v>
      </c>
      <c r="H54">
        <v>0</v>
      </c>
      <c r="I54">
        <f t="shared" si="1"/>
        <v>0.21287726115341463</v>
      </c>
    </row>
    <row r="55" spans="1:9" x14ac:dyDescent="0.25">
      <c r="A55" s="2">
        <v>41943</v>
      </c>
      <c r="B55">
        <v>32.97</v>
      </c>
      <c r="C55">
        <v>35.35</v>
      </c>
      <c r="D55">
        <v>28.4</v>
      </c>
      <c r="E55">
        <v>34.479999999999997</v>
      </c>
      <c r="F55">
        <v>33.146799999999999</v>
      </c>
      <c r="G55">
        <v>278912481</v>
      </c>
      <c r="H55">
        <v>0</v>
      </c>
      <c r="I55">
        <f t="shared" si="1"/>
        <v>2.102309305914489E-2</v>
      </c>
    </row>
    <row r="56" spans="1:9" x14ac:dyDescent="0.25">
      <c r="A56" s="2">
        <v>41912</v>
      </c>
      <c r="B56">
        <v>32.08</v>
      </c>
      <c r="C56">
        <v>35.49</v>
      </c>
      <c r="D56">
        <v>32.03</v>
      </c>
      <c r="E56">
        <v>33.770000000000003</v>
      </c>
      <c r="F56">
        <v>32.464300000000001</v>
      </c>
      <c r="G56">
        <v>150334104</v>
      </c>
      <c r="H56">
        <v>0</v>
      </c>
      <c r="I56">
        <f t="shared" si="1"/>
        <v>5.4984515294599363E-2</v>
      </c>
    </row>
    <row r="57" spans="1:9" x14ac:dyDescent="0.25">
      <c r="A57" s="2">
        <v>41880</v>
      </c>
      <c r="B57">
        <v>28.21</v>
      </c>
      <c r="C57">
        <v>32.43</v>
      </c>
      <c r="D57">
        <v>27.4207</v>
      </c>
      <c r="E57">
        <v>32.01</v>
      </c>
      <c r="F57">
        <v>30.772300000000001</v>
      </c>
      <c r="G57">
        <v>94688600</v>
      </c>
      <c r="H57">
        <v>0.06</v>
      </c>
      <c r="I57">
        <f t="shared" si="1"/>
        <v>0.13410310463779226</v>
      </c>
    </row>
    <row r="58" spans="1:9" x14ac:dyDescent="0.25">
      <c r="A58" s="2">
        <v>41851</v>
      </c>
      <c r="B58">
        <v>27.18</v>
      </c>
      <c r="C58">
        <v>29.7</v>
      </c>
      <c r="D58">
        <v>25.86</v>
      </c>
      <c r="E58">
        <v>28.28</v>
      </c>
      <c r="F58">
        <v>27.133600000000001</v>
      </c>
      <c r="G58">
        <v>133730481</v>
      </c>
      <c r="H58">
        <v>0</v>
      </c>
      <c r="I58">
        <f t="shared" si="1"/>
        <v>5.2865213882163073E-2</v>
      </c>
    </row>
    <row r="59" spans="1:9" x14ac:dyDescent="0.25">
      <c r="A59" s="2">
        <v>41820</v>
      </c>
      <c r="B59">
        <v>26.48</v>
      </c>
      <c r="C59">
        <v>27.7</v>
      </c>
      <c r="D59">
        <v>25.47</v>
      </c>
      <c r="E59">
        <v>26.86</v>
      </c>
      <c r="F59">
        <v>25.7712</v>
      </c>
      <c r="G59">
        <v>140150721</v>
      </c>
      <c r="H59">
        <v>0.06</v>
      </c>
      <c r="I59">
        <f t="shared" si="1"/>
        <v>1.7783728066537861E-2</v>
      </c>
    </row>
    <row r="60" spans="1:9" x14ac:dyDescent="0.25">
      <c r="A60" s="2">
        <v>41789</v>
      </c>
      <c r="B60">
        <v>24.17</v>
      </c>
      <c r="C60">
        <v>26.64</v>
      </c>
      <c r="D60">
        <v>23.85</v>
      </c>
      <c r="E60">
        <v>26.45</v>
      </c>
      <c r="F60">
        <v>25.320900000000002</v>
      </c>
      <c r="G60">
        <v>105614278</v>
      </c>
      <c r="H60">
        <v>0</v>
      </c>
      <c r="I60">
        <f t="shared" si="1"/>
        <v>9.4333180627706584E-2</v>
      </c>
    </row>
    <row r="61" spans="1:9" x14ac:dyDescent="0.25">
      <c r="A61" s="2">
        <v>41759</v>
      </c>
      <c r="B61">
        <v>23.73</v>
      </c>
      <c r="C61">
        <v>24.45</v>
      </c>
      <c r="D61">
        <v>22.35</v>
      </c>
      <c r="E61">
        <v>24.17</v>
      </c>
      <c r="F61">
        <v>23.138200000000001</v>
      </c>
      <c r="G61">
        <v>141616905</v>
      </c>
      <c r="H61">
        <v>0</v>
      </c>
      <c r="I61">
        <f t="shared" si="1"/>
        <v>2.3719034956928831E-2</v>
      </c>
    </row>
    <row r="62" spans="1:9" x14ac:dyDescent="0.25">
      <c r="A62" s="2">
        <v>41729</v>
      </c>
      <c r="B62">
        <v>22.15</v>
      </c>
      <c r="C62">
        <v>24.17</v>
      </c>
      <c r="D62">
        <v>21.82</v>
      </c>
      <c r="E62">
        <v>23.61</v>
      </c>
      <c r="F62">
        <v>22.6021</v>
      </c>
      <c r="G62">
        <v>148120899</v>
      </c>
      <c r="H62">
        <v>0.04</v>
      </c>
      <c r="I62">
        <f t="shared" si="1"/>
        <v>5.3981207302571686E-2</v>
      </c>
    </row>
    <row r="63" spans="1:9" x14ac:dyDescent="0.25">
      <c r="A63" s="2">
        <v>41698</v>
      </c>
      <c r="B63">
        <v>20.98</v>
      </c>
      <c r="C63">
        <v>22.625</v>
      </c>
      <c r="D63">
        <v>20.23</v>
      </c>
      <c r="E63">
        <v>22.44</v>
      </c>
      <c r="F63">
        <v>21.444500000000001</v>
      </c>
      <c r="G63">
        <v>154376058</v>
      </c>
      <c r="H63">
        <v>0</v>
      </c>
      <c r="I63">
        <f t="shared" si="1"/>
        <v>7.1121744603058826E-2</v>
      </c>
    </row>
    <row r="64" spans="1:9" x14ac:dyDescent="0.25">
      <c r="A64" s="2">
        <v>41670</v>
      </c>
      <c r="B64">
        <v>18.850000000000001</v>
      </c>
      <c r="C64">
        <v>22.1</v>
      </c>
      <c r="D64">
        <v>18.78</v>
      </c>
      <c r="E64">
        <v>20.95</v>
      </c>
      <c r="F64">
        <v>20.020600000000002</v>
      </c>
      <c r="G64">
        <v>195723468</v>
      </c>
      <c r="H64">
        <v>0</v>
      </c>
      <c r="I64">
        <f t="shared" si="1"/>
        <v>0.11199608980126864</v>
      </c>
    </row>
    <row r="65" spans="1:9" x14ac:dyDescent="0.25">
      <c r="A65" s="2">
        <v>41639</v>
      </c>
      <c r="B65">
        <v>18.62</v>
      </c>
      <c r="C65">
        <v>19</v>
      </c>
      <c r="D65">
        <v>17.73</v>
      </c>
      <c r="E65">
        <v>18.84</v>
      </c>
      <c r="F65">
        <v>18.004200000000001</v>
      </c>
      <c r="G65">
        <v>109824074</v>
      </c>
      <c r="H65">
        <v>0.04</v>
      </c>
      <c r="I65">
        <f t="shared" si="1"/>
        <v>1.5631434357565581E-2</v>
      </c>
    </row>
    <row r="66" spans="1:9" x14ac:dyDescent="0.25">
      <c r="A66" s="2">
        <v>41607</v>
      </c>
      <c r="B66">
        <v>17.260000000000002</v>
      </c>
      <c r="C66">
        <v>18.975000000000001</v>
      </c>
      <c r="D66">
        <v>17.2</v>
      </c>
      <c r="E66">
        <v>18.59</v>
      </c>
      <c r="F66">
        <v>17.7271</v>
      </c>
      <c r="G66">
        <v>150548783</v>
      </c>
      <c r="H66">
        <v>0</v>
      </c>
      <c r="I66">
        <f t="shared" ref="I66:I87" si="2">(F66-F67)/F67</f>
        <v>7.9558118716010887E-2</v>
      </c>
    </row>
    <row r="67" spans="1:9" x14ac:dyDescent="0.25">
      <c r="A67" s="2">
        <v>41578</v>
      </c>
      <c r="B67">
        <v>14.58</v>
      </c>
      <c r="C67">
        <v>17.34</v>
      </c>
      <c r="D67">
        <v>14.48</v>
      </c>
      <c r="E67">
        <v>17.22</v>
      </c>
      <c r="F67">
        <v>16.4207</v>
      </c>
      <c r="G67">
        <v>151818116</v>
      </c>
      <c r="H67">
        <v>0</v>
      </c>
      <c r="I67">
        <f t="shared" si="2"/>
        <v>0.18268967603462929</v>
      </c>
    </row>
    <row r="68" spans="1:9" x14ac:dyDescent="0.25">
      <c r="A68" s="2">
        <v>41547</v>
      </c>
      <c r="B68">
        <v>12.97</v>
      </c>
      <c r="C68">
        <v>14.82</v>
      </c>
      <c r="D68">
        <v>12.73</v>
      </c>
      <c r="E68">
        <v>14.56</v>
      </c>
      <c r="F68">
        <v>13.8842</v>
      </c>
      <c r="G68">
        <v>124582791</v>
      </c>
      <c r="H68">
        <v>0</v>
      </c>
      <c r="I68">
        <f t="shared" si="2"/>
        <v>0.13661443751330279</v>
      </c>
    </row>
    <row r="69" spans="1:9" x14ac:dyDescent="0.25">
      <c r="A69" s="2">
        <v>41516</v>
      </c>
      <c r="B69">
        <v>13.91</v>
      </c>
      <c r="C69">
        <v>14.24</v>
      </c>
      <c r="D69">
        <v>12.645</v>
      </c>
      <c r="E69">
        <v>12.81</v>
      </c>
      <c r="F69">
        <v>12.215400000000001</v>
      </c>
      <c r="G69">
        <v>119034751</v>
      </c>
      <c r="H69">
        <v>0.04</v>
      </c>
      <c r="I69">
        <f t="shared" si="2"/>
        <v>-7.1079307381692866E-2</v>
      </c>
    </row>
    <row r="70" spans="1:9" x14ac:dyDescent="0.25">
      <c r="A70" s="2">
        <v>41486</v>
      </c>
      <c r="B70">
        <v>12.96</v>
      </c>
      <c r="C70">
        <v>14.02</v>
      </c>
      <c r="D70">
        <v>12.58</v>
      </c>
      <c r="E70">
        <v>13.83</v>
      </c>
      <c r="F70">
        <v>13.1501</v>
      </c>
      <c r="G70">
        <v>119505172</v>
      </c>
      <c r="H70">
        <v>0</v>
      </c>
      <c r="I70">
        <f t="shared" si="2"/>
        <v>7.2925760629227468E-2</v>
      </c>
    </row>
    <row r="71" spans="1:9" x14ac:dyDescent="0.25">
      <c r="A71" s="2">
        <v>41453</v>
      </c>
      <c r="B71">
        <v>14.18</v>
      </c>
      <c r="C71">
        <v>14.28</v>
      </c>
      <c r="D71">
        <v>12.79</v>
      </c>
      <c r="E71">
        <v>12.89</v>
      </c>
      <c r="F71">
        <v>12.2563</v>
      </c>
      <c r="G71">
        <v>150912846</v>
      </c>
      <c r="H71">
        <v>0.04</v>
      </c>
      <c r="I71">
        <f t="shared" si="2"/>
        <v>-8.7733531819873534E-2</v>
      </c>
    </row>
    <row r="72" spans="1:9" x14ac:dyDescent="0.25">
      <c r="A72" s="2">
        <v>41425</v>
      </c>
      <c r="B72">
        <v>13.71</v>
      </c>
      <c r="C72">
        <v>14.56</v>
      </c>
      <c r="D72">
        <v>13.4</v>
      </c>
      <c r="E72">
        <v>14.17</v>
      </c>
      <c r="F72">
        <v>13.435</v>
      </c>
      <c r="G72">
        <v>174357913</v>
      </c>
      <c r="H72">
        <v>0</v>
      </c>
      <c r="I72">
        <f t="shared" si="2"/>
        <v>3.4304894760343103E-2</v>
      </c>
    </row>
    <row r="73" spans="1:9" x14ac:dyDescent="0.25">
      <c r="A73" s="2">
        <v>41394</v>
      </c>
      <c r="B73">
        <v>13.47</v>
      </c>
      <c r="C73">
        <v>13.77</v>
      </c>
      <c r="D73">
        <v>12.445</v>
      </c>
      <c r="E73">
        <v>13.7</v>
      </c>
      <c r="F73">
        <v>12.9894</v>
      </c>
      <c r="G73">
        <v>158470347</v>
      </c>
      <c r="H73">
        <v>0</v>
      </c>
      <c r="I73">
        <f t="shared" si="2"/>
        <v>1.6321357035553374E-2</v>
      </c>
    </row>
    <row r="74" spans="1:9" x14ac:dyDescent="0.25">
      <c r="A74" s="2">
        <v>41361</v>
      </c>
      <c r="B74">
        <v>11.66</v>
      </c>
      <c r="C74">
        <v>13.574999999999999</v>
      </c>
      <c r="D74">
        <v>11.66</v>
      </c>
      <c r="E74">
        <v>13.48</v>
      </c>
      <c r="F74">
        <v>12.780799999999999</v>
      </c>
      <c r="G74">
        <v>140663274</v>
      </c>
      <c r="H74">
        <v>0.01</v>
      </c>
      <c r="I74">
        <f t="shared" si="2"/>
        <v>0.15309593193731444</v>
      </c>
    </row>
    <row r="75" spans="1:9" x14ac:dyDescent="0.25">
      <c r="A75" s="2">
        <v>41333</v>
      </c>
      <c r="B75">
        <v>11.29</v>
      </c>
      <c r="C75">
        <v>11.895</v>
      </c>
      <c r="D75">
        <v>11.15</v>
      </c>
      <c r="E75">
        <v>11.7</v>
      </c>
      <c r="F75">
        <v>11.0839</v>
      </c>
      <c r="G75">
        <v>127182262</v>
      </c>
      <c r="H75">
        <v>0</v>
      </c>
      <c r="I75">
        <f t="shared" si="2"/>
        <v>4.3711215947719796E-2</v>
      </c>
    </row>
    <row r="76" spans="1:9" x14ac:dyDescent="0.25">
      <c r="A76" s="2">
        <v>41305</v>
      </c>
      <c r="B76">
        <v>10.45</v>
      </c>
      <c r="C76">
        <v>11.615</v>
      </c>
      <c r="D76">
        <v>10.36</v>
      </c>
      <c r="E76">
        <v>11.21</v>
      </c>
      <c r="F76">
        <v>10.6197</v>
      </c>
      <c r="G76">
        <v>188021543</v>
      </c>
      <c r="H76">
        <v>0</v>
      </c>
      <c r="I76">
        <f t="shared" si="2"/>
        <v>9.4724146462147538E-2</v>
      </c>
    </row>
    <row r="77" spans="1:9" x14ac:dyDescent="0.25">
      <c r="A77" s="2">
        <v>41274</v>
      </c>
      <c r="B77">
        <v>9.58</v>
      </c>
      <c r="C77">
        <v>10.61</v>
      </c>
      <c r="D77">
        <v>9.42</v>
      </c>
      <c r="E77">
        <v>10.24</v>
      </c>
      <c r="F77">
        <v>9.7007999999999992</v>
      </c>
      <c r="G77">
        <v>134540130</v>
      </c>
      <c r="H77">
        <v>0.01</v>
      </c>
      <c r="I77">
        <f t="shared" si="2"/>
        <v>7.5619816383554195E-2</v>
      </c>
    </row>
    <row r="78" spans="1:9" x14ac:dyDescent="0.25">
      <c r="A78" s="2">
        <v>41243</v>
      </c>
      <c r="B78">
        <v>8.82</v>
      </c>
      <c r="C78">
        <v>9.5749999999999993</v>
      </c>
      <c r="D78">
        <v>8.6999999999999993</v>
      </c>
      <c r="E78">
        <v>9.5299999999999994</v>
      </c>
      <c r="F78">
        <v>9.0188000000000006</v>
      </c>
      <c r="G78">
        <v>133445332</v>
      </c>
      <c r="H78">
        <v>0</v>
      </c>
      <c r="I78">
        <f t="shared" si="2"/>
        <v>8.0496950963830985E-2</v>
      </c>
    </row>
    <row r="79" spans="1:9" x14ac:dyDescent="0.25">
      <c r="A79" s="2">
        <v>41213</v>
      </c>
      <c r="B79">
        <v>8.7799999999999994</v>
      </c>
      <c r="C79">
        <v>9.17</v>
      </c>
      <c r="D79">
        <v>8.68</v>
      </c>
      <c r="E79">
        <v>8.82</v>
      </c>
      <c r="F79">
        <v>8.3468999999999998</v>
      </c>
      <c r="G79">
        <v>137071768</v>
      </c>
      <c r="H79">
        <v>0</v>
      </c>
      <c r="I79">
        <f t="shared" si="2"/>
        <v>5.6990698346908166E-3</v>
      </c>
    </row>
    <row r="80" spans="1:9" x14ac:dyDescent="0.25">
      <c r="A80" s="2">
        <v>41180</v>
      </c>
      <c r="B80">
        <v>8.93</v>
      </c>
      <c r="C80">
        <v>9.32</v>
      </c>
      <c r="D80">
        <v>8.75</v>
      </c>
      <c r="E80">
        <v>8.77</v>
      </c>
      <c r="F80">
        <v>8.2995999999999999</v>
      </c>
      <c r="G80">
        <v>120283375</v>
      </c>
      <c r="H80">
        <v>0</v>
      </c>
      <c r="I80">
        <f t="shared" si="2"/>
        <v>-1.9017788546776174E-2</v>
      </c>
    </row>
    <row r="81" spans="1:9" x14ac:dyDescent="0.25">
      <c r="A81" s="2">
        <v>41152</v>
      </c>
      <c r="B81">
        <v>9.19</v>
      </c>
      <c r="C81">
        <v>9.5250000000000004</v>
      </c>
      <c r="D81">
        <v>8.81</v>
      </c>
      <c r="E81">
        <v>8.94</v>
      </c>
      <c r="F81">
        <v>8.4604999999999997</v>
      </c>
      <c r="G81">
        <v>175469504</v>
      </c>
      <c r="H81">
        <v>0.01</v>
      </c>
      <c r="I81">
        <f t="shared" si="2"/>
        <v>-2.6118286253654779E-2</v>
      </c>
    </row>
    <row r="82" spans="1:9" x14ac:dyDescent="0.25">
      <c r="A82" s="2">
        <v>41121</v>
      </c>
      <c r="B82">
        <v>9.3000000000000007</v>
      </c>
      <c r="C82">
        <v>9.82</v>
      </c>
      <c r="D82">
        <v>8.4499999999999993</v>
      </c>
      <c r="E82">
        <v>9.19</v>
      </c>
      <c r="F82">
        <v>8.6874000000000002</v>
      </c>
      <c r="G82">
        <v>202039497</v>
      </c>
      <c r="H82">
        <v>0</v>
      </c>
      <c r="I82">
        <f t="shared" si="2"/>
        <v>-3.2584501709538465E-3</v>
      </c>
    </row>
    <row r="83" spans="1:9" x14ac:dyDescent="0.25">
      <c r="A83" s="2">
        <v>41089</v>
      </c>
      <c r="B83">
        <v>8.9</v>
      </c>
      <c r="C83">
        <v>9.42</v>
      </c>
      <c r="D83">
        <v>8.58</v>
      </c>
      <c r="E83">
        <v>9.2200000000000006</v>
      </c>
      <c r="F83">
        <v>8.7157999999999998</v>
      </c>
      <c r="G83">
        <v>225280330</v>
      </c>
      <c r="H83">
        <v>0.01</v>
      </c>
      <c r="I83">
        <f t="shared" si="2"/>
        <v>2.2225349800030363E-2</v>
      </c>
    </row>
    <row r="84" spans="1:9" x14ac:dyDescent="0.25">
      <c r="A84" s="2">
        <v>41060</v>
      </c>
      <c r="B84">
        <v>8.25</v>
      </c>
      <c r="C84">
        <v>9.1349999999999998</v>
      </c>
      <c r="D84">
        <v>8</v>
      </c>
      <c r="E84">
        <v>9.0299999999999994</v>
      </c>
      <c r="F84">
        <v>8.5263000000000009</v>
      </c>
      <c r="G84">
        <v>210621226</v>
      </c>
      <c r="H84">
        <v>0</v>
      </c>
      <c r="I84">
        <f t="shared" si="2"/>
        <v>9.0584668909325872E-2</v>
      </c>
    </row>
    <row r="85" spans="1:9" x14ac:dyDescent="0.25">
      <c r="A85" s="2">
        <v>41029</v>
      </c>
      <c r="B85">
        <v>8.2200000000000006</v>
      </c>
      <c r="C85">
        <v>8.5</v>
      </c>
      <c r="D85">
        <v>7.76</v>
      </c>
      <c r="E85">
        <v>8.2799999999999994</v>
      </c>
      <c r="F85">
        <v>7.8181000000000003</v>
      </c>
      <c r="G85">
        <v>181294610</v>
      </c>
      <c r="H85">
        <v>0</v>
      </c>
      <c r="I85">
        <f t="shared" si="2"/>
        <v>4.8584244823464172E-3</v>
      </c>
    </row>
    <row r="86" spans="1:9" x14ac:dyDescent="0.25">
      <c r="A86" s="2">
        <v>40998</v>
      </c>
      <c r="B86">
        <v>9.02</v>
      </c>
      <c r="C86">
        <v>9.11</v>
      </c>
      <c r="D86">
        <v>8.0299999999999994</v>
      </c>
      <c r="E86">
        <v>8.24</v>
      </c>
      <c r="F86">
        <v>7.7803000000000004</v>
      </c>
      <c r="G86">
        <v>177970984</v>
      </c>
      <c r="H86">
        <v>0</v>
      </c>
      <c r="I86">
        <f t="shared" si="2"/>
        <v>-8.2414407189442304E-2</v>
      </c>
    </row>
    <row r="87" spans="1:9" x14ac:dyDescent="0.25">
      <c r="A87" s="2">
        <v>40968</v>
      </c>
      <c r="B87">
        <v>9.6999999999999993</v>
      </c>
      <c r="C87">
        <v>10.050000000000001</v>
      </c>
      <c r="D87">
        <v>8.67</v>
      </c>
      <c r="E87">
        <v>8.98</v>
      </c>
      <c r="F87">
        <v>8.4791000000000007</v>
      </c>
      <c r="G87">
        <v>101829047</v>
      </c>
      <c r="H87">
        <v>4.4999999999999997E-3</v>
      </c>
      <c r="I87">
        <f t="shared" si="2"/>
        <v>-6.2150204623382325E-2</v>
      </c>
    </row>
    <row r="88" spans="1:9" x14ac:dyDescent="0.25">
      <c r="A88" s="2">
        <v>40939</v>
      </c>
      <c r="B88">
        <v>8.7200000000000006</v>
      </c>
      <c r="C88">
        <v>9.7799999999999994</v>
      </c>
      <c r="D88">
        <v>8.2200000000000006</v>
      </c>
      <c r="E88">
        <v>9.58</v>
      </c>
      <c r="F88">
        <v>9.0410000000000004</v>
      </c>
      <c r="G88">
        <v>121957901</v>
      </c>
      <c r="H8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 Allen</cp:lastModifiedBy>
  <cp:lastPrinted>2007-11-19T18:25:24Z</cp:lastPrinted>
  <dcterms:created xsi:type="dcterms:W3CDTF">2006-10-23T21:11:26Z</dcterms:created>
  <dcterms:modified xsi:type="dcterms:W3CDTF">2019-04-17T22:25:51Z</dcterms:modified>
</cp:coreProperties>
</file>