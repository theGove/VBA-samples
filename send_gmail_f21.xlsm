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aca02fdef5844572"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gallen2\Downloads\"/>
    </mc:Choice>
  </mc:AlternateContent>
  <xr:revisionPtr revIDLastSave="0" documentId="8_{0A0B62B9-D77A-4FB6-8389-21A9591661E7}" xr6:coauthVersionLast="36" xr6:coauthVersionMax="36" xr10:uidLastSave="{00000000-0000-0000-0000-000000000000}"/>
  <bookViews>
    <workbookView xWindow="0" yWindow="0" windowWidth="21570" windowHeight="7980" xr2:uid="{00000000-000D-0000-FFFF-FFFF00000000}"/>
  </bookViews>
  <sheets>
    <sheet name="data" sheetId="4" r:id="rId1"/>
    <sheet name="System Info" sheetId="3" r:id="rId2"/>
    <sheet name="Credentials" sheetId="5" state="veryHidden" r:id="rId3"/>
  </sheets>
  <functionGroups builtInGroupCount="19"/>
  <definedNames>
    <definedName name="email">#REF!</definedName>
    <definedName name="googleForm">'System Info'!$M$11</definedName>
    <definedName name="message">#REF!</definedName>
    <definedName name="responses">#REF!</definedName>
    <definedName name="textHeader">#REF!</definedName>
    <definedName name="websql.aspx?mode_23_code_744447h826331700" localSheetId="0">data!$C$1:$P$187</definedName>
    <definedName name="websql.aspx?mode_23_code_744447h826331700_1" localSheetId="0">data!$C$1:$Q$187</definedName>
  </definedNames>
  <calcPr calcId="191029"/>
</workbook>
</file>

<file path=xl/calcChain.xml><?xml version="1.0" encoding="utf-8"?>
<calcChain xmlns="http://schemas.openxmlformats.org/spreadsheetml/2006/main">
  <c r="N3" i="4" l="1"/>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3" background="1" saveData="1">
    <webPr sourceData="1" parsePre="1" consecutive="1" xl2000="1" url="http://websql.byu.edu/websql/websql.aspx?mode=23&amp;code=744447h826331700" htmlTables="1">
      <tables count="1">
        <x v="2"/>
      </tables>
    </webPr>
  </connection>
  <connection id="2" xr16:uid="{12266293-0541-446B-B41A-DFD9CD4258E3}" name="Connection1" type="4" refreshedVersion="3" background="1" saveData="1">
    <webPr sourceData="1" parsePre="1" consecutive="1" xl2000="1" url="http://websql.byu.edu/websql/websql.aspx?mode=23&amp;code=744447h826331700" htmlTables="1">
      <tables count="1">
        <x v="2"/>
      </tables>
    </webPr>
  </connection>
</connections>
</file>

<file path=xl/sharedStrings.xml><?xml version="1.0" encoding="utf-8"?>
<sst xmlns="http://schemas.openxmlformats.org/spreadsheetml/2006/main" count="2481" uniqueCount="879">
  <si>
    <t>Verizon</t>
  </si>
  <si>
    <t>Alltel</t>
  </si>
  <si>
    <t>message.alltel.com</t>
  </si>
  <si>
    <t>AT&amp;T</t>
  </si>
  <si>
    <t>txt.att.net</t>
  </si>
  <si>
    <t>Boost Mobile</t>
  </si>
  <si>
    <t>myboostmobile.com</t>
  </si>
  <si>
    <t>Nextel</t>
  </si>
  <si>
    <t>messaging.nextel.com</t>
  </si>
  <si>
    <t>Sprint</t>
  </si>
  <si>
    <t>messaging.sprintpcs.com</t>
  </si>
  <si>
    <t>T-Mobile</t>
  </si>
  <si>
    <t xml:space="preserve">tmomail.net </t>
  </si>
  <si>
    <t>US Cellular</t>
  </si>
  <si>
    <t>email.uscc.net</t>
  </si>
  <si>
    <t>vtext.com</t>
  </si>
  <si>
    <t>Virgin Mobile</t>
  </si>
  <si>
    <t xml:space="preserve">vmobl.com </t>
  </si>
  <si>
    <t>email</t>
  </si>
  <si>
    <t>city</t>
  </si>
  <si>
    <t>state</t>
  </si>
  <si>
    <t>letterdate</t>
  </si>
  <si>
    <t>manufacturer</t>
  </si>
  <si>
    <t>modelname</t>
  </si>
  <si>
    <t>faildate</t>
  </si>
  <si>
    <t>compdesc</t>
  </si>
  <si>
    <t>injured</t>
  </si>
  <si>
    <t>csummary</t>
  </si>
  <si>
    <t>FINKSBURG</t>
  </si>
  <si>
    <t>MD</t>
  </si>
  <si>
    <t>DAIMLERCHRYSLER CORP.</t>
  </si>
  <si>
    <t>PAINT IS PEELING OFF IN SHEETS,THE BRAKES DON'T SLOW THE VEHICLE COSISTANLY,SOMETIMES WHEN YOU PUSH ON THE BRAKE IT LIKE YOU DON'T HAVE BRAKES AT ALL BUT THE DE</t>
  </si>
  <si>
    <t>STUART</t>
  </si>
  <si>
    <t>FL</t>
  </si>
  <si>
    <t>TOYOTA MOTOR CO., LTD.</t>
  </si>
  <si>
    <t>SETAUKET</t>
  </si>
  <si>
    <t>NY</t>
  </si>
  <si>
    <t>THE ABS FAILED, DURING LOSS OF CONTROL AND ACCIDENT. YH</t>
  </si>
  <si>
    <t>SAINT PETERS</t>
  </si>
  <si>
    <t>MO</t>
  </si>
  <si>
    <t>ON JANUARY 8, 2000, I WAS A PASSENGER IN A 1999 DODGE RAM PICKUP WESTBOUND ON INTERSTATE 44 NEAR MILEMARKER 274 IN MISSOURI. A FENTON FIRE DEPARTMENT PUMPER TR</t>
  </si>
  <si>
    <t>ALANSON</t>
  </si>
  <si>
    <t>MI</t>
  </si>
  <si>
    <t>GENERAL MOTORS CORP.</t>
  </si>
  <si>
    <t>PONTIAC</t>
  </si>
  <si>
    <t>I WAS DRIVING APX. 25-30 MPH ON SLUSH COVERED ROADS. I SAW THE CAR AHEAD OF ME BRAKING, SO I STARTED TO APPLY STEADY PRESSURE. I WAS APX 8-10 CAR LENGTHS BEHI</t>
  </si>
  <si>
    <t>CASTLEWOOD</t>
  </si>
  <si>
    <t>SD</t>
  </si>
  <si>
    <t>CINCINNATI</t>
  </si>
  <si>
    <t>OH</t>
  </si>
  <si>
    <t>ON 12/22/99, MY HUSBAND AND I WERE INVOLVED IN AN AUTO ACCIDENT. A WOMAN TWO VEHICLES IN FRONT OF US LOST CONTROL, STRUCK THE CONCRETE DIVIDER, FLIPPED OVER &amp; W</t>
  </si>
  <si>
    <t>BEACH HAVEN</t>
  </si>
  <si>
    <t>NJ</t>
  </si>
  <si>
    <t>BREAKS FAILED AT 45 MPH. REAR-ENDED CAR IN FRONT. AIRBAGS NEVER DEPLOVED. 2 PASSENGERS IN VAN HURT, DRIVER IN FRONT CAR HURT. *AK</t>
  </si>
  <si>
    <t>WOODINVILLE</t>
  </si>
  <si>
    <t>WA</t>
  </si>
  <si>
    <t>N. LAUDERDAL</t>
  </si>
  <si>
    <t>S10</t>
  </si>
  <si>
    <t>BRAKES WERE APPLIED WHEN OTHER VEHICLE SUDDENLY CUT IN FRONT OF DRIVER AND THEN ABRUPTLY APPLIED BRAKES.BRAKES FAILED TO RESPOND.DRIVER SWERVED TO AVOID REAR EN</t>
  </si>
  <si>
    <t>TAVARES</t>
  </si>
  <si>
    <t>GMC</t>
  </si>
  <si>
    <t>REAR ENDED BY TRUCK WHICH PROPELLED VEHICLE INTO BACK OF CAMPER. THUS A REAR END COLLISION, IMMEDIATELY FOLLOWED BY A FRONT END COLLISION. BOTH FRONT SEAT BAC</t>
  </si>
  <si>
    <t>SAN DIEGO</t>
  </si>
  <si>
    <t>CA</t>
  </si>
  <si>
    <t>D250</t>
  </si>
  <si>
    <t>NO SUMMARY LISTED IN ABOVE VEHICLE. *AK</t>
  </si>
  <si>
    <t>STEELVILLE</t>
  </si>
  <si>
    <t>FORD MOTOR COMPANY</t>
  </si>
  <si>
    <t>WHILE DRIVING CONSUMER STEPPED ON THE BRAKE PEDAL TO STOP VEHICLE, BUT BRAKES DID NOT RESPOND. CONSUMER TRIED TO AVOID REAR ENDING ANOTHER VEHICLE BY DRIVIN</t>
  </si>
  <si>
    <t>DANSVILLE</t>
  </si>
  <si>
    <t>TOWING A RENTED TRAILER AND SMALL HYDRA-HOE. WEATHER CONDITIONS HAD BEEN RAINING. THE TRAILER CONTAINS A HYRDRAULIC MASTER CYLINDER THAT IS ACTIVATED FROM THE F</t>
  </si>
  <si>
    <t>LEBANON</t>
  </si>
  <si>
    <t>BRAKE CABLE HAS NOT BROKEN BUT IS WORN PARTIALLY INTO IN FRONT OF REAR LEFT WHEEL AT BRACKET SUPPORT. *AK</t>
  </si>
  <si>
    <t>NEWPORT NEWS</t>
  </si>
  <si>
    <t>VA</t>
  </si>
  <si>
    <t>NO SUMMARY LISTED FOR ABOVE VEHICLE. *AK</t>
  </si>
  <si>
    <t>GERALD</t>
  </si>
  <si>
    <t>DAYTON</t>
  </si>
  <si>
    <t>ENTERING HIGHWAY AND GETTING PREPARED TO MOVE INTO ANOTHER LANE, ANOTHER TRUCK PULLING A TRAILER PULLED IN FRONT OF THE CAR AHEAD OF THE CONSUMER'S VEHICLE. HE</t>
  </si>
  <si>
    <t>WABAN</t>
  </si>
  <si>
    <t>MA</t>
  </si>
  <si>
    <t>AMERICAN HONDA MOTOR CO.</t>
  </si>
  <si>
    <t>CAR WAS PARKED. WHEN STARTED IT SUDDENLY ACCELERATED, FIRST BACKWARD ONTO THE SIDEWALK, RESULTING IN A CRASH. WHEN PUT INTO DRIVE IT ACCELERATED RAPIDLY DESPITE</t>
  </si>
  <si>
    <t>WHITE PLAINS</t>
  </si>
  <si>
    <t>2ND ACCIDENT, BRAKE PEDAL WENT TO FLOOR, CAR DID NOT SLOWDOWN, DIRECT FRONAL IMPACT 45MPH, DRIVER'S &amp; PASSENGER'S AIRBAGS DID NOT DEPLOY. *AK</t>
  </si>
  <si>
    <t>30MPH FRONTAL CRASH, DRIVER'S/PASSENGER'S AIRBAGS DIDN'T DEPLOY, BRAKE PEDAL WENT TO FLOOR, BUT CAR DIDN'T RESPOND. *AK</t>
  </si>
  <si>
    <t>NAPA</t>
  </si>
  <si>
    <t>F150</t>
  </si>
  <si>
    <t>NO REAR AXLE BRAKES IN EMERGENCY STOP ATTEMPT, RESULTING IN CRASH. *AK</t>
  </si>
  <si>
    <t>BECKLEY</t>
  </si>
  <si>
    <t>WV</t>
  </si>
  <si>
    <t>ANTI-SKID BRAKES FAILED LAST YEAR IN SNOW. HAPPENS IN 2-WD IN WET/SLICK CONDITIONS. *AK</t>
  </si>
  <si>
    <t>LOVINGSTON</t>
  </si>
  <si>
    <t>ABS SYSTEM FAILED PRIOR TO RECALL NOTICE RESULTING IN COLLISION DUE TO LOSS OF BRAKE ABILITY, INJURY TO CONSUMER. (99V-193) MJS</t>
  </si>
  <si>
    <t>CLARKSVILLE</t>
  </si>
  <si>
    <t>TN</t>
  </si>
  <si>
    <t>THE ACCIDENT THAT HAPPENED IN OCTOBER WASN'T REPORTED BECAUSE IT WAS A SINGLE VEHICLE ACCIDENT AND THE PAVEMENT WAS WET. I FIGURED IT WAS MY FAULT AND NOT THE</t>
  </si>
  <si>
    <t>SCOTTSDALE</t>
  </si>
  <si>
    <t>AZ</t>
  </si>
  <si>
    <t>IN DECEMBER OF 1993, I WAS INVOLVED IN A MULTI-CAR ACCIDENT. WHILE I DID NOT CREATE THE ACCIDENT, I DID CONTRIBUTE BY CRASHING INTO THE REAR OF ONE OF THE CAR</t>
  </si>
  <si>
    <t>APO</t>
  </si>
  <si>
    <t>DURING NORMAL LATE-MORNING OPERATION IN LIGHT RAIN, VEHICLE TRAVELING ON HIGHWAY IN A SLIGHT LEFT TURN. VEHICLE REPORTED TO SUDDENLY BEGIN INERTIAL PIVOT COUNT</t>
  </si>
  <si>
    <t>NEW HOPE</t>
  </si>
  <si>
    <t>MN</t>
  </si>
  <si>
    <t>APPROACHING AN INTERSECTION, APPLIED BRAKES, FELT A LITTLE PRESSURE, THEN PEDAL WENT TO THE FLOOR. THIS HAPPENED ABOUT THREE MONTHS AGO, AND I WAS AWARE THAT GM</t>
  </si>
  <si>
    <t>LAWRENCEVILL</t>
  </si>
  <si>
    <t>WAS TRAVELING 25-30 MPH AND BECAUSE OF HEAVY TRAFFIC HAD STOPPED SUDDENLY. HAD APPLIED BRAKES. HAD NO BRAKES. COULD FEEL ABS KICKING IN, BUT NOTHING HAPPENING.</t>
  </si>
  <si>
    <t>LEETONIA</t>
  </si>
  <si>
    <t>DURING BAD WEATHER CONDITIONS (RAIN MIXED WITH SNOW) DRIVER APPLIED BRAKES &amp; VEHICLE WOULD NOT SLOW DOWN, CAUSING LOSS OF CONTROL WHICH RESULTED IN ANCOLLISION.</t>
  </si>
  <si>
    <t>TUSKEGEE</t>
  </si>
  <si>
    <t>AL</t>
  </si>
  <si>
    <t>WHILE DRIVING DOWN HIGHWAY 14 AND TURNING AT THE INTERSECTION ANOTHER DRIVER TOOK OFF, CONSUMER HIT THE BRAKES, CAR SLID ABOUT 12 INCHES, AND HIT THE PASSEN</t>
  </si>
  <si>
    <t>SEATTLE</t>
  </si>
  <si>
    <t>OFFICER WAS TRAVELING NORTHBOUND ON SUMMIT AVE E AT APPROXIMATELY 30-35MPH. AT THE INTERSECTION OF SUMMIT AND E. HARRISON ST, THE OFFICER SLOWED TO CLEAR THE I</t>
  </si>
  <si>
    <t>KINGSTON</t>
  </si>
  <si>
    <t>F350</t>
  </si>
  <si>
    <t>WHILE TRAVELING 30 MPH AND AS A RESULT OF AN HEAD-ON ACCIDENT, AIR BAG DID NOT DEPLOY, CAUSING INJURY TO CONSUMER. DEALER HAS BEEN NOTIFIED. *AK</t>
  </si>
  <si>
    <t>CASA GRANDE</t>
  </si>
  <si>
    <t>COMING OUT OF DRIVEWAY DRIVER MADE A NORMAL STOP AND BRAKES COMPLETELY FAILE/D, VEHICLE LOST CONTROL , RESULTING IN A COLLISION. SEAT BELTS DID NOT TIGHTEN, AN</t>
  </si>
  <si>
    <t>IRWIN</t>
  </si>
  <si>
    <t>PA</t>
  </si>
  <si>
    <t>ABS SYSTEM LOCKED UP CAUSING THE VEHICLE TO SKID AND OVER TURN ON SNOW COVERED ROAD. YH</t>
  </si>
  <si>
    <t>WOODSIDE</t>
  </si>
  <si>
    <t>MERCEDES-BENZ USA, INC.</t>
  </si>
  <si>
    <t>VEHICLE EXPERIENCED SUDDEN ACCELERATION WHEN PUT IN REVERSE, RESULTING IN VEHICLE HITTING A CURB, GOING AIRBORNE INTO A STORE WINDOW. DRIVER APPLIED BRAKES, BU</t>
  </si>
  <si>
    <t>MADISON</t>
  </si>
  <si>
    <t>WI</t>
  </si>
  <si>
    <t>ABS LIGHT ILLUMINATED, INSPECTION DID NOT SHOW ANY PROBLEMS, HOWEVER VEHICLE ACCIDENT OCCURRED WHEN ABS LOCKED UP. MJS</t>
  </si>
  <si>
    <t>SAN ANTONIO</t>
  </si>
  <si>
    <t>TX</t>
  </si>
  <si>
    <t>THE FIRST 3 INCIDENTS OF THE BRAKES FAILING DID NOT RESULT IN AN ACCIDENT. WE TOOK THE VAN TO HAVE THE BRAKES CHECKED AT DIFFERENT LOCATIONS; EACH TIME THE SHO</t>
  </si>
  <si>
    <t>PORTLAND</t>
  </si>
  <si>
    <t>OR</t>
  </si>
  <si>
    <t>CHEV STEADFASTLY HAS FOUND NO PROBLEM; VEHICLE, HOWEVER, SAILS ON...</t>
  </si>
  <si>
    <t>SNELLVILLE</t>
  </si>
  <si>
    <t>GA</t>
  </si>
  <si>
    <t>DEFECTIVE ABS SYSTEM RESULTED IN AN ACCIDENT AND DRIVERS SIDE AIR BAG FAILED TO DEPLOY.</t>
  </si>
  <si>
    <t>MENIFEE</t>
  </si>
  <si>
    <t>BRAKING SYSTEM WENT INTO SKID OF OWN VOLITION, CAUSED VEHICLE TO CRASH AND DRIVER TO BE INJURED. ANTI-LOCK BRAKE PROBLEM NOTED IN PAST BUT DEALERSHIPS REFUSED T</t>
  </si>
  <si>
    <t>HENDERSON</t>
  </si>
  <si>
    <t>NV</t>
  </si>
  <si>
    <t>THIS CRASH COULD HAVE BEEN AVOIDED IF THE BRAKES DIDN'T LOCK UP. *AK</t>
  </si>
  <si>
    <t>NEW HARTFORD</t>
  </si>
  <si>
    <t>IA</t>
  </si>
  <si>
    <t>HIT BRAKE PEDAL WHILE GOING 30 MPH ON A DRY SURFACE AND THE BRAKE PEDAL WENT COMPLETELY TO THE FLOOR, CAUSING A COLLISION WITH THE VEHICL IN FRONT. *AK</t>
  </si>
  <si>
    <t>FORKED RIVER</t>
  </si>
  <si>
    <t>IN STOP AND GO TRAFFIC EVERYONE STOPPED SHORT, CONSUMER SLAMMED ON BRAKES AND BRAKES FAILED. *AK BRAKES TEND TO SKID FREQUENTLY. JN</t>
  </si>
  <si>
    <t>GOODELLS</t>
  </si>
  <si>
    <t>WHILE DRIVING APPROXIMATELY 35 MPH THE ANTI-LOCK BRAKE SYSTEM FAILED, THE PEDAL WENT TO THE FLOOR CAUSING VEHICLE TO HIT A TREE WHICH RESULTED IN SERVERE INJUR</t>
  </si>
  <si>
    <t>WOODSTOCK</t>
  </si>
  <si>
    <t>IL</t>
  </si>
  <si>
    <t>S15</t>
  </si>
  <si>
    <t>OUR 1994 GMC JIMMY WAS BEING DRIVEN BY MY WIFE AND HAD MY TWO CHILDREN INSIDE. SHE EXITED THE PARKING LOT OF THE LOCAL FOOD STORE. AFTER CROSSING TO THE OPPOSIT</t>
  </si>
  <si>
    <t>CENTERVILLE</t>
  </si>
  <si>
    <t>UT</t>
  </si>
  <si>
    <t>WHEN APPLYING THE BRAKES DURING HIGH SPEED , THERE WAS GRINDING NOISE AND THE BRAKES COMPLETELY LOCKED UP, CAUSING THE VEHICLE TO SPIN OUT OF CONTROL WHICH RES</t>
  </si>
  <si>
    <t>FRANKLIN</t>
  </si>
  <si>
    <t>I WAS DRIVING AT 45 MPH A CAR STOPP;ED IN FRONT OF ME AND I HIT THE BRAKES HARD TO STOP AND THE ANTI-LOCKS KICKED IN AND I SLAMMED INTO THE FIRST CAR WICH HIT A</t>
  </si>
  <si>
    <t>HENDERSONVIL</t>
  </si>
  <si>
    <t>VEHICLE WAS MOVING ON THE INTERSTATE WHILE AT 65 MPH ON CRUISE CONTROL. THE AUTOMATIC GEAR SHIFT COLUMN WAS STRUCK BY THE PASSENGER AND THE TRANSMISSION WAS SEN</t>
  </si>
  <si>
    <t>BELLFLOWER</t>
  </si>
  <si>
    <t>MAZDA (NORTH AMERICA),INC</t>
  </si>
  <si>
    <t>ANTI-LOCK BRAKES AND STEERING WHEEL LOCKED UP RESULTING IN LOSS OF CONTROL, VEHICLE ROLLED ONTO SIDE CAUSING INJURY TO CONSUMER. MJS</t>
  </si>
  <si>
    <t>IDAHO FALL</t>
  </si>
  <si>
    <t>ID</t>
  </si>
  <si>
    <t>ON FEBRUARY OF 1997 VEHICLE WAS INVOLVED IN COLLISION DUE TO THE ANTI-BRAKE SYSTEM FAILING, RESULTING IN PROPERTY DAMAGE &amp; SERVERE INJURY TO DRIVER. HOWEVER, RE</t>
  </si>
  <si>
    <t>HAM LAKE</t>
  </si>
  <si>
    <t>BRAKES APPLIED AT 45 MILES/HR, CAR SLOWED TO 20 MILES/HR BUT DID NOT STOP EVENTHOUGH BRAKE PETAL WAS DEPRESSED FULLY. ENGINE SOUNDED LOUDER THEN NORMAL JUST BE</t>
  </si>
  <si>
    <t>GLENDALE</t>
  </si>
  <si>
    <t>ON TWO OCCASIONS, I BELIEVE THAT THE ANTI LOCK BRAKES MALFUNCTIONED, CAUSING AN INCREASE IN STOPPING DISTANCE AND RESULTING IN A CRASH. THE FIRST OCCURRED IN A</t>
  </si>
  <si>
    <t>SPRINGFIELD</t>
  </si>
  <si>
    <t>THE ABS BRAKES MALFUNCTIONED AND INCREASED THE STOPPING DISTANCE CAUSING MY VEHICLE TO HIT THE CAR THAT HAD STOPPED IN FRONT OF ME.</t>
  </si>
  <si>
    <t>FOREST CIT</t>
  </si>
  <si>
    <t>ANTI-LOCK BRAKE SYSTEM NEVER WORKED SINCE PURCHASE, VEHCICLE EXPERIENCING EXTENDED STOPPING DISTANCE CAUSING COLLISION, RESULTING IN INJURY. *YC</t>
  </si>
  <si>
    <t>BEAVERTON</t>
  </si>
  <si>
    <t>WHEN APPLYING THE BRAKES, PEDAL GOES TO THE FLOOR, CAUSING VEHICLE TO NOT STOP, WHICH RESULTED IN OWNER HITTING ANOTHER VEHICLE. *AK</t>
  </si>
  <si>
    <t>DOVER</t>
  </si>
  <si>
    <t>THE ABS FAILURE CAUSED ACCIDENT TWICE. YH</t>
  </si>
  <si>
    <t>FARMINGTON</t>
  </si>
  <si>
    <t>THREE ACCIDENTS HAVE OCCURRED IN WHICH BRAKING WAS A FACTOR. ONE CRASH INVOLVED A SLOW-SPEED, REAR-END COLLISION WHERE THE BRAKES WERE APPLIED, THE ANTI-LOCK S</t>
  </si>
  <si>
    <t>EAST LANSING</t>
  </si>
  <si>
    <t>I WAS ON 401-EAST IN TORONTO. I TOOK THE ISLINGTON RD EXIT AND TGE TRAFFIC WAS CRAWLING AT THE BEST. WE WRE TARVELLING AT LESS TAH 10MPH AND I WAS ABOUT 5FT BEH</t>
  </si>
  <si>
    <t>EMERSON</t>
  </si>
  <si>
    <t>WHILE BRAKING AT INTERSECTION,A SMALL BUMP CAUSED THE ABS SYSTEM TO ENGAGE CAUSING EXTENDED STOPPING DISTANCE AND A COLLISION</t>
  </si>
  <si>
    <t>YUKON</t>
  </si>
  <si>
    <t>OK</t>
  </si>
  <si>
    <t>VEHICLE WAS CUT OFF BY ANOTHER VEHICLE. HAD TO APPLY BRAKES (ABS) QUICKLY, WHICH FAILED TO WORK. VEHICLE THEN DOVE INTO CONCRETE COVER. UPON IMPACT, THE DUAL AI</t>
  </si>
  <si>
    <t>WASILLA</t>
  </si>
  <si>
    <t>AK</t>
  </si>
  <si>
    <t>ANTI LOCK BRAKES FAILED. YH</t>
  </si>
  <si>
    <t>BOWIE</t>
  </si>
  <si>
    <t>ANTI-LOCK BRAKES DID NOT WORK RESULTING IN A REAR-END COLLISION. AIRBAG DID NOT DEPLOY.</t>
  </si>
  <si>
    <t>WEST MINSTER</t>
  </si>
  <si>
    <t>CO</t>
  </si>
  <si>
    <t>WHEN BRAKES WERE APPLIED IN A PANIC STOP PEDAL BECAME HARD, CAUSING EXTENDED STOPPING DISTANCE, AND RESULTING IN A COLLISION. DRIVER SUSTAINED MINOR INJURIE</t>
  </si>
  <si>
    <t>HUNTSVILLE</t>
  </si>
  <si>
    <t>TRAVELING 45MPH DOWN THE MOUNTAIN WHEN VEHICLE IN FRONT FAILED TO SIGNAL. HAD APPLIED THE BRAKES &amp; VEHICLE STARTED TO HYDROPLANE &amp; REARENDED THE OTHER VEHICLE.</t>
  </si>
  <si>
    <t>FALL RIVER</t>
  </si>
  <si>
    <t>WHILE DRIVING AT 45 MPH ON WET PAVEMENT, VEHICLE INVOLVED IN FRONTAL IMPACT WHEN ABS DID NOT KICK IN AFTER BRAKES WERE APPLIED. NEITHER AIRBAG DEPLOYED. VEHICLE</t>
  </si>
  <si>
    <t>CHICAGO</t>
  </si>
  <si>
    <t>WHILE DRIVING 25MPH APPLIED BRAKES AND WAS NOT ABLE TO STOP. STRUCK VEHICLE IN FRONT. UPON IMPACT, AIR BAGS DIDN'T DEPLOY, AND SEAT BELT DIDN'T RETRACT AS QU</t>
  </si>
  <si>
    <t>SPRING CREEK</t>
  </si>
  <si>
    <t>MY WIFE WAS INVOLVED IN AN ACCIDENT ON 6-16-99. SHE WAS GOING APROX. 30 MPH. THE VEHICLE IN FRONT OF HER WAS APPROX. 20 FT IN FRONT OF HER. SHE FELT THAT THE</t>
  </si>
  <si>
    <t>HOUSTON</t>
  </si>
  <si>
    <t>VEHICLE PLAGUED WITH A WIDE RANGE OF FAULTY COMPONENTS FIRST FAILING WITHIN THE 36,000 MILE MANUFACTURER WARRANTY PERIOD: 070396 (SEE 033199)-LEAKING CENTRAL PO</t>
  </si>
  <si>
    <t>WILLIAMSSON</t>
  </si>
  <si>
    <t>WHILE BACKING INTO THEIR DRIVING WAY, GOING APPROX. 5 MPH OR LESS, VEHICLE CONTINUED TO BACK THROUGH GARAGE DOOR WHILE FOOT WAS STILL APPLYING BRAKES. TWO INJUR</t>
  </si>
  <si>
    <t>HILLSBORO</t>
  </si>
  <si>
    <t>MY SON WAS STUCK IN TRAFFIC ON HIS WAY HOME FROM SEATTLE. HE WENT TO MAKE A STOP AND THE BRAKES WOULD NOT STOP HIM. HE SAYS THAT HE HAD BOTH FEET ON THE BRAKE P</t>
  </si>
  <si>
    <t>DEPTFORD</t>
  </si>
  <si>
    <t>TRAFFIC WAS STOPPED AHEAD. APPLIED THE BRAKES TO SLOW DOWN. THE BLAZER DID NOT RESPOND. I HIT THE BRAKES AS HARD AS POSSIBLE WHEN THE ANTI-LOCK BRAKES DEPLOYED</t>
  </si>
  <si>
    <t>POWER DOOR LOCKS AND WINDOW ON DRIVERS DOOR FAIL CONSTANTLY. ABS BRAKES LOCKEDAND CAUSE AN ACCIDENT.*AK</t>
  </si>
  <si>
    <t>MOORESTOWN</t>
  </si>
  <si>
    <t>ABS/TC DID NOT ALLOW ME TO STOP IN TIME AND I HIT THE VEHICLE IN FRONT OF ME. NOW THE TRACTION OFF LIGHT ILLUMINATES CONSTANTLY (&gt; 40 MPH IT ENABLES THE FAULT)</t>
  </si>
  <si>
    <t>GIBSON CITY</t>
  </si>
  <si>
    <t>ATLANTIC BEA</t>
  </si>
  <si>
    <t>WHEN THE BRAKES WERE APPLIED UNDER NORMAL BRAKING, PEDAL WENT TO THE FLOOR , RESULTING IN EXTENDED STOPPING DISTANCE, AND CAUSING AN ACCIDENT AND MINOR INJURIE</t>
  </si>
  <si>
    <t>SPRING HILL</t>
  </si>
  <si>
    <t>IT WAS A LIGHT SNOW FALLING BUT THE TEMPERATURE WAS ABOVE FREEZING AND THE STREETS WERE WET. A CONSILIDATED FREIGHTWAYS TRUCK CUT IN FRONT OF ME SO I HAD TO APP</t>
  </si>
  <si>
    <t>WHILE DRIVING AT 45 MPH APPLIED BRAKES, NO BRAKES, FRONTAL IMPACT OCCURRED AND NEITHER AIRBAG DEPLOYED. DEALER CONTACTED AND IS AWARE OF THE PROBLEM. CONDITION</t>
  </si>
  <si>
    <t>PERRY</t>
  </si>
  <si>
    <t>ANTI-LOCK BRAKE SYSTEM FAILED ON THREE OCCASIONS, ON ONE INCIDENT VEHICLE EXPERIENCED BRAKE FAILURE WHICH CAUSED A COLLISION DAMAGING THE REAR BUMPER, RESULTING</t>
  </si>
  <si>
    <t>NEW CITY</t>
  </si>
  <si>
    <t>WHILE DRIVING THE VAN ABOUT 25 MPH AND APPLYING THE BRAKES THE PEDAL WENT DOWN TO THE FLOOR AND THE VEHICLE CONTINUED TO MOVE AT THE SAME SPEED UNTIL WE HIT THE</t>
  </si>
  <si>
    <t>ROCHESTER</t>
  </si>
  <si>
    <t>SUBARU OF AMERICA, INC.</t>
  </si>
  <si>
    <t>NEW VEHICLE BECAME UNCONTROLLABLE, VEERING FROM SIDE TO SIDE, THEN GOING OFF THE ROAD, WITHIN FIRST 7 MILES OF DRIVING AT 60 MPH. *** 7 PURCHASED A NEW SUBARU F</t>
  </si>
  <si>
    <t>ARLINGTON</t>
  </si>
  <si>
    <t>NO SUMMARY LISTED FOR THIS VEHICLE. *AK</t>
  </si>
  <si>
    <t>CATLETTSBURG</t>
  </si>
  <si>
    <t>KS</t>
  </si>
  <si>
    <t>ROSTRA PRECISION CONTROLS</t>
  </si>
  <si>
    <t>VEHICLE WAS INVOLVED IN A HEAD-ON COLLISI0N, IMPACT AT APPROXIMATELY 30 MPH. ABS BRAKES FAILED TO OPERATE,CAUSING VEHICLE TO SLOW DOWN BUT NOT STOP. SEAT BELT</t>
  </si>
  <si>
    <t>VOLKSWAGEN OF AMERICA,INC</t>
  </si>
  <si>
    <t>FAJARDO</t>
  </si>
  <si>
    <t>PR</t>
  </si>
  <si>
    <t>I WAS SLOWING DOWN TOWARD A TRAFFIC LIGHT AND ABOUT 35-MPH THE ABS LIGHT CAME ON. THE CAR BRAKES WENT ALMOST TO THE FLOOR COULD NOT STOP. CONSEQUENTLY I COULD N</t>
  </si>
  <si>
    <t>CHARLESTON</t>
  </si>
  <si>
    <t>SC</t>
  </si>
  <si>
    <t>CONSUMER WAS DRIVING APPROXIMATELY 35 MPH WHEN APPLIED THE ABS, AND PEDAL WENT TO THE FLOOR. VEHICLE REAR ENDED A HONDA, AND DRIVER 'S SIDE AIR BAG DID NOT D</t>
  </si>
  <si>
    <t>REDFORD</t>
  </si>
  <si>
    <t>WHILE DRIVING ON WET PAVEMENT AT 35-40 MPH, VEHICLE ACCELERATED BY ITSELF, BRAKES APPLIED, WOULD NOT DISENGAGE, CRUISE CONTROL WENT ON BY ITSELF. DRIVER TURNED</t>
  </si>
  <si>
    <t>STEERING ASSEMBLY MECHANISM FAILED IN 1998, RESULTING IN THE INABILITY TO STEER, ANTI LOCK BRAKES FAILED MAY 1999. ACCIDENT OCCURED RESULTING IN INJURY. (ATTORN</t>
  </si>
  <si>
    <t>LEWISVILLE</t>
  </si>
  <si>
    <t>IN COLD CONDITIONS WHILE DRIVING THROUGH SMALL AMOUNTS OF SLUSH, BRAKES BECAME INOPERATIVE, AND THE LEFT REAR WHEEL LOCKED UP, CAUSING AN ACCIDENT. *AK</t>
  </si>
  <si>
    <t>ALEXANDRIA</t>
  </si>
  <si>
    <t>ANTI LOCK BRAKES FAILED RESULTING IN VEHICLE COLLISION, NO DEPLOYMENT OF BOTH DRIVER AND PASSENGER AIRBAGS DURING VEHICLE COLLISION. MJS</t>
  </si>
  <si>
    <t>MONTICELLO</t>
  </si>
  <si>
    <t>KY</t>
  </si>
  <si>
    <t>WHILE COMING OUT OF THE GARAGE VEHICLE SUDDEN ACCELERATED WHILE OCCUPANT HAD FOOT ON THE BRAKES. BRAKES DID NOT OPERATE, CAUSING AN ACCIDENT. *AK</t>
  </si>
  <si>
    <t>THOUSAND OAK</t>
  </si>
  <si>
    <t>FRONT ABS BRAKES WOULD MAKE GRINDING NOISES. HAD TAKEN TO DEALER &amp; MECHANIC CHANGED BRAKES. WAS DRIVING VEHICLE WHEN REARENDED ANOTHER VEHICLE &amp; THE AIR BAGS FA</t>
  </si>
  <si>
    <t>FOUNTAIN HIL</t>
  </si>
  <si>
    <t>AR</t>
  </si>
  <si>
    <t>CLUTCH INHIBITOR RELAY WAS FAULTY--CAR WOULD NOT START AND HAD IT TOWED TO DEALERSHIP TO FIX, PASSENGER SEATBELT HAS BEEN REPLACED 3 TIMES ALREADY, ABS LIGHT C</t>
  </si>
  <si>
    <t>GLENVIEW</t>
  </si>
  <si>
    <t>ANTILOCK BRAKES FAILED CAUSING VEHICLE TO SKID AND HIT ANOTHER VEHICLE AND CAUSED INJURY TO THE DRIVER. NM</t>
  </si>
  <si>
    <t>NO SUMMARY</t>
  </si>
  <si>
    <t>DENSION</t>
  </si>
  <si>
    <t>LUGS: BOLTS HAVE SHEARED OFF 4 TIMES ON FRONT. TIRE LEFT HOLDING BY ONE LUG BOLTS ON 4 OCCASIONS. LUGS: BOLTS HAVE BEEN REPLACED WITH FACTORY SPEC BOLTS AND B</t>
  </si>
  <si>
    <t>SUNNYVALE</t>
  </si>
  <si>
    <t>BRAKES FAILED TO STOP THE VEHICLE - ANTI-LOCK SYSTEM ENGAGED AT LOW SPEED ON DRY PAVEMENT, PREVENTING THE VEHICLE FROM STOPPING, THUS CAUSING A CRASH. *AK</t>
  </si>
  <si>
    <t>HARDEEVILLE</t>
  </si>
  <si>
    <t>NEWTON</t>
  </si>
  <si>
    <t>OXNARD</t>
  </si>
  <si>
    <t>THE ANTI-LOCK BRAKES FAILED RESULTING IN VEHICLE COLLISION, NO DEPLOYMENT OF BOTH DRIVER'S AND PASSENGER AIR BAG, RESULTING IN INJURIES. *YC</t>
  </si>
  <si>
    <t>CHANDLER</t>
  </si>
  <si>
    <t>ABS BRAKES; WHEN APPLYING THE BRAKES IN NORMAL CONDITIONS, THE PEDAL WENT TO THE FLOOR AND THE BRAKES FAILED TO STOP THE VEHICLE, CAUSING THREE ACCIDENTS. *AK</t>
  </si>
  <si>
    <t>PHILADELPHIA</t>
  </si>
  <si>
    <t>VEHICLE IN FRONT OF ME STOPPED,I STEPPED ON MY BRAKES AND THEY DID NOT WORK.I WAS DOING 25 MPH , AND ENDED UP IN AN ACCIDENT DUE TO NO BRAKES. *AK</t>
  </si>
  <si>
    <t>WHILE DRIVING MY VEHICLE THE CRUISE CONTROL WENT INTO RESUME AND FAILED TO LET ME SLOW DOWN OR STOP VEHICLE. I APPLIED THE BRAKES SEVERAL TIMES, AND I ALSO APP</t>
  </si>
  <si>
    <t>ODESSA</t>
  </si>
  <si>
    <t>ABS ENGAGED DURING MODERATE BRAKING, CAUSING VEHICLE TO GO INTO A "COAST" SITUATION RESULTING IN A REAR-END COLLISION WITH VEHICLE AHEAD. WITNESS 1 VERIFIED BR</t>
  </si>
  <si>
    <t>ORANGE PARK</t>
  </si>
  <si>
    <t>5/21/96, MY SON AND I WERE IMPACTED AT LEFT FRONT OF OUR 1996 PLY VOYAGER VAN BY A 1987 CHRYSLER. WHEN I APPLIED THE BRAKES, THEY LOCKED UP, WE SLID SLIGHTHLY</t>
  </si>
  <si>
    <t>ANTIOCH</t>
  </si>
  <si>
    <t>MY WIFE WAS TRAVELIING SOUTHBOUND ON IL TOLLWAY I94 WHEN SHE PROCEDED TO BRAKE FOR A TOLL PLAZA. SHE APPLIED HER BRAKES AND HAD NO RESPONSE. SHE BEGAN ATTEMPT</t>
  </si>
  <si>
    <t>NORTON</t>
  </si>
  <si>
    <t>ABS BRAKING SYSTEM FAILURE</t>
  </si>
  <si>
    <t>THESE TWO INCIDENTS LEAD ME TO BELIEVE THE ABS SYSTEM AND THE ORGINAL MASTER CYLINDER MAY HAVE FAILED. OUR FAMILY DOES NOT FEEL SAFE DRIVING THIS VEHICLE, AND</t>
  </si>
  <si>
    <t>BRAKES FAILED TO RESPOND AS VEHICLE WAS MOVING AT ABOUT 10 MPH, APPROACHED RED LIGHT AT INTERSECTION. DRIVER COULD FEEL PRESSURE IN BRAKE PEDAL, BUT VEHICLE W</t>
  </si>
  <si>
    <t>ALBUQUERQUE</t>
  </si>
  <si>
    <t>NM</t>
  </si>
  <si>
    <t>WOMAN AHEAD OF ME STOPPED IN AN INTERSECTION, I TRIED TO BRAKE BUT HIT HER. INJURED MY WRIST. STEERING WHEEL GRIP IS LOOSE AT TOP, WIGGLES DUE TO SUN ON ADHES</t>
  </si>
  <si>
    <t>PACE</t>
  </si>
  <si>
    <t>WHILE TRAVELING AT A SLOW SPEED THE BRAKE PEDAL WAS DEPRESSED, BUT IT FELT LIKE IT WAS LOCKED AND IT WOULD NOT GO DOWN, CAUSING THE CAR TO REAR END THE TRUCK IN</t>
  </si>
  <si>
    <t>PALM SPRINGS</t>
  </si>
  <si>
    <t>WHEN ATTEMPTING TO STOP, BRAKE PEDAL WENT TO THE FLOOR WITH NO RESISTANCE, CAUSING A REAR-END COLLISION. NO WARNING LIGHTS APPEARED ON DASHBOARD. VEHICLE BEH</t>
  </si>
  <si>
    <t>TIPTON</t>
  </si>
  <si>
    <t>IN</t>
  </si>
  <si>
    <t>WHILE DRIVING APPROXIMATELY 35MP, WHEN AT 3 CAR LENGTHS BETWEEN VEHICLES CONSUMER SLAMMED ON BRAKES SWERVED OFF ROAD AN CURB, DRIVER'S AND PASSENGER'S SEATBACK</t>
  </si>
  <si>
    <t>REDMOND</t>
  </si>
  <si>
    <t>THREE CARS IN FRONT STOPPED SUDDENLY, I APPLIED BRAKES WITH FULL PRESURE FROM MY FOOT (I DID NOT RELEASE PRESURE AT ANY TIME), MY SUBURBAN DID NOT SLOW DOWN AND</t>
  </si>
  <si>
    <t>REDONDO BE</t>
  </si>
  <si>
    <t>ABS SYSTEM FAILED CAUSING VEHICLE TO SPIN OUT AND TIRE BLOWOUT, LOSS OF CONTROL RESULTING IN ACCIDENT ( NO DEPLOYMENT OF AIR BAGS DURING COLLISION AND SEAT BELT</t>
  </si>
  <si>
    <t>KENNESAW</t>
  </si>
  <si>
    <t>TRANS. LOCK OUT AND NOISE. HAD TO BE REBUILT AT MY EXPENSE @ 63K MI. DEALER SAID THERE WAS NO PROB. ABS FAILS IN WET COND. CAUSED MANY NEAR ACIDENTS. I MUST BRA</t>
  </si>
  <si>
    <t>FREMONT</t>
  </si>
  <si>
    <t>ISUZU MOTOR, LIMITED</t>
  </si>
  <si>
    <t>BRAKES MALFUNCTIONED AT LOW SPEED, STRONG VIBRATION FROM BRAKES, BUT IT COULD NOT COMPLETELY STOP. RAN INTO ANOTHER CAR ,CREATED CAR DAMAGE AND BODY INJURY. *A</t>
  </si>
  <si>
    <t>BRAKES MALFUNCTIONING WHEN PREPARED TO STOP. STRONG VIBRATION FROM BRAKES, BUT NEVER STOPPED. DEALER'S REPORT "WORKED AS DESIGNED. NO PROBLEM". *AK</t>
  </si>
  <si>
    <t>KINGS PARK</t>
  </si>
  <si>
    <t>SUFFOLK</t>
  </si>
  <si>
    <t>F250</t>
  </si>
  <si>
    <t>REAR BRAKE FAILURE ON NUMEROUS OCCASIONS. FINALLY RESULTED IN CRASH. DEALER COULD NOT FIND ANY PROBLEM. SELF DIAGNOSIS OF RAISING REAR OF VEHICLE WHILE IDLING</t>
  </si>
  <si>
    <t>LOS ANGELES</t>
  </si>
  <si>
    <t>THIS IS A NON-RECALL FOR ABS. WHILE DRIVING 45-50 MPH ON WET PAVEMENT/SOME ICE, VEHICLE FISHTAILED ON BLACK ICE, DRIVER CORRECTED THE SLIDE. HOWEVER, ABS LOC</t>
  </si>
  <si>
    <t>KILAUEA</t>
  </si>
  <si>
    <t>HI</t>
  </si>
  <si>
    <t>HIT BRAKES, PEDAL WENT DOWN TO FLOOR, DIDN'T STOP CAR, HIT TRUCK IN FRONT OF ME. AIRBAGS DIDN'T DEPLOY.LOY.</t>
  </si>
  <si>
    <t>ANTI LOCK BRAKES CONTINUALLY FAIL RESULTING IN SEVERAL VEHICLE ACCIDENTS.</t>
  </si>
  <si>
    <t>SOLANA BEACH</t>
  </si>
  <si>
    <t>BAYERISCHE MOTOREN WERKE</t>
  </si>
  <si>
    <t>PARKED CAR-PUT IN REVERSE AND VEHICLE TOOK OFF FULL THROTTLE, BRAKES DID NOT WORK-TOTALED CAR. *AK</t>
  </si>
  <si>
    <t>LAKE JACKSON</t>
  </si>
  <si>
    <t>THE BRAKES FAILED COMPLETELY WHILE DRIVING TO WORK WHEN THE VEHICLE WAS LESS THAN 6 MONTHS OLD. I RECENTLY READ A COMSUMER REPORTS ARTICLE DATED NOV. 1997 THAT</t>
  </si>
  <si>
    <t>SPRING VALLE</t>
  </si>
  <si>
    <t>NO SUMMARY. *AK</t>
  </si>
  <si>
    <t>MORGANHILL</t>
  </si>
  <si>
    <t>A4</t>
  </si>
  <si>
    <t>WHILE DRIVINGTHE ABS BRAKING SYSTM WHICH IS ACTIVATED MALFUNCTIONED, HAVING NO BRAKING ABILITY, AND CAUSING A FRONTAL IMPACT. THE DRIVER'S AND PASSENGER'S AI</t>
  </si>
  <si>
    <t>LANDING</t>
  </si>
  <si>
    <t>CONSUMER WAS DRIVING VEHICLE ON THE ROAD AT APPROXIMATELY 50 MPH, NORMAL ROAD CONDITION; CONSUMER WAS DRIVING AND APPROACHING A BLIND CURVE WHEN THE VEHICLE IN</t>
  </si>
  <si>
    <t>WEATHERFORD</t>
  </si>
  <si>
    <t>VEHICLE WAS INVOLVED IN A FRONTAL IMPACT AT 30-35MPH WHEN THE BRAKES WERE APPLIED AND THE PEDAL WENT TO THE FLOOR. HAD NO STOPPING DISTANCE. DEALER CONTACTED</t>
  </si>
  <si>
    <t>LOS ANGELE</t>
  </si>
  <si>
    <t>ANTI LOCK BRAKES FAILED RESULTING IN VEHICLE COLLISION.</t>
  </si>
  <si>
    <t>SALINO</t>
  </si>
  <si>
    <t>WAS DRIVING 40MPH &amp; STARTED TO APPLY THE BRAKES, TRAVELED 40 FT &amp; HIT 4 VEHICLES DUE TO BRAKE FAILURE. HEARD ABS COMPUTER COME ON. BRAKE PEDAL GOT MUSHY. *AK</t>
  </si>
  <si>
    <t>ST. CLOUD</t>
  </si>
  <si>
    <t>CONSUMER WAS DRIVING APPROXIMATELY 35 MPH WHEN ANOTHER VEHICLE PULLED OUT IN FRONT OF HIM MADE AN ILEGAL LEFT TURN, CAUSING A REAREND COLLISION AT 35MPH, AND TH</t>
  </si>
  <si>
    <t>EUGENE</t>
  </si>
  <si>
    <t>I WAS DRIVING AT ABOUT 20 MPH OVER AN OVERPASS WHEN I SAW THAT THE CAR IN FRONT OF ME HAD STOPPED. EVEN THOUGH IT SEEMED THAT THERE WAS PLENTY OF ROOM TO STOP</t>
  </si>
  <si>
    <t>LITITZ</t>
  </si>
  <si>
    <t>WHILE DRIVING SOUTH ABOUT 35-40MPH, ANOTHER VEHICLE TURNED THE CORNER, HEADING NORTH &amp; SPEEDING, DRIFTED INTO ESCORT'S LANE. ESCORT DRIVER APPLIED BRAKES TO</t>
  </si>
  <si>
    <t>BROWNSMILLS</t>
  </si>
  <si>
    <t>NISSAN NORTH AMERICA, INC</t>
  </si>
  <si>
    <t>WHILE DRIVING TO A TRAFFIC LIGHT, SLOWED DOWN, APPLIED BRAKES AND THE BRAKES LOCKED UP. FRONTAL IMPACT OCCURRED WHEN VEHICLE SKIDDED. DEALER AND MANUFACTURER C</t>
  </si>
  <si>
    <t>TYINGSBORO</t>
  </si>
  <si>
    <t>THE 1ST YEAR ROTORS CRACKED &amp; BRAKES REPLACED. WINDSHIELD WIPER MOTOR STOPPED WORKING DURING A STORM. DEALER REPLACED MOTOR. PROBLEM STILL EXISTS. DRIVER'S DOOR</t>
  </si>
  <si>
    <t>MODESTO</t>
  </si>
  <si>
    <t>ABS BRAKES FAILED, VEHICLE LOST CONTROL, RESULTING IN A HEAD-ON COLLISION. UPON IMPACT, DRIVER'S/PASSENGER'S AIR BAGS FAILED TO DEPLOY, RESULTING IN INJURIES. I</t>
  </si>
  <si>
    <t>SAINT PAUL</t>
  </si>
  <si>
    <t>ABS BRAKES FAILED. ALSO, WARPED FRONT BRAKE ROTORS, CAUSING VEHICLE TO SHUDDER/PULSATE UPON BRAKING. IN ADDITION, TRUNK LID FELL ON BACKS/HEADS OF PEOPLE WHO W</t>
  </si>
  <si>
    <t>ANNISTON</t>
  </si>
  <si>
    <t>VEHICLE WAS IN PARK POSITION AND WAS LEFT IDLING. CONSUMER THEN PUT VEHICLE IN DRIVE, VEHICLE SUDDENLY TOOK OFF. TRIED TO STEP ON BRAKES, BUT BRAKES WERE INOPER</t>
  </si>
  <si>
    <t>DRIPPING SPR</t>
  </si>
  <si>
    <t>CONSUMER HAD AN ACCIDENT AND AIR BAGS DID NOT DEPLOY.-ALSO THE REAR BRAKES DID NOT ENGAGE, CAUSING VEHICLE TO LOSE CONTROL AND COLLIDE, RESULTING IN 3 INJURIES.</t>
  </si>
  <si>
    <t>BRAKES LOCKED UP AND CAUSED A CRASH.</t>
  </si>
  <si>
    <t>CARLISLE</t>
  </si>
  <si>
    <t>ABS BRAKE FAILURE</t>
  </si>
  <si>
    <t>SPEARFISH</t>
  </si>
  <si>
    <t>G30</t>
  </si>
  <si>
    <t>INTERMITTENTLY WHEN THE BRAKES ARE APPLIED THE PEDAL BECOMES HARD , RESULTING IN EXTENDED STOPPING DISTANCE, CAUSING A COLLISION. *AK</t>
  </si>
  <si>
    <t>BAY CITY</t>
  </si>
  <si>
    <t>THE DRIVER PUT THE VEHICLE IN REVERSE AND STEPPED ON ACCELERATOR AND CAR SPED UP AND WENT OUT OF CONTROL. BRAKING WOULD NOT STOP VEHICLE.</t>
  </si>
  <si>
    <t>CT</t>
  </si>
  <si>
    <t>WORTHINGTON</t>
  </si>
  <si>
    <t>ABS BRAKES FAILED, CAUSING ACCIDENT. QCAW</t>
  </si>
  <si>
    <t>AUSTIN</t>
  </si>
  <si>
    <t>BRAKES WOULD LOCK UP FOR NO REASON. HAD REARENDED ANOTHER VEHICLE. AIR BAGS DID NOT DEPLOY. WAS GOING 40 MPH. LEFT SKID MARKS. 1 INJURY. EMERGENCY TREATMENT. *</t>
  </si>
  <si>
    <t>PHOENIX</t>
  </si>
  <si>
    <t>ABS FAILED RESULTING IN CRASH AND AIR BAGS DID NOT DEPLOY.</t>
  </si>
  <si>
    <t>MOUNT VERN</t>
  </si>
  <si>
    <t>ABS BRAKES FAILED WHEN COMSUMER APPLIED BRAKES THE CAR SURGED FOWARD CAUSING ACCIDENT.</t>
  </si>
  <si>
    <t>FOUNTAIN VAL</t>
  </si>
  <si>
    <t>WHEN BRAKES WERE APPLIED IN A PANIC STOP THE PEDAL WENT TO THE FLOOR, RESULTING IN EXTENDED STOPPING DISTANCE, CAUSING A COLLISION. DRIVER SUSTAINED MINOR INJ</t>
  </si>
  <si>
    <t>CORNWALL ON</t>
  </si>
  <si>
    <t>CONSUMER WAS DRIVING APPROXIMATELY 55MPH WHEN SHE BEGAN BRAKING TO EXIT FREEWAY. LOST CONTROL OF VEHICLE, SPINNING INTO A GAURDRAIL. THE FRONT END HIT THE RA</t>
  </si>
  <si>
    <t>CLARKSON</t>
  </si>
  <si>
    <t>NE</t>
  </si>
  <si>
    <t>BRAKE SYSTEM IS DEFECTIVE. WHEN BRAKES ARE NEEDED SUDDENLY THE BRAKE PEDAL WOULD GO THE FLOOR. AT OTHER TIMES, WHEN BRAKE ARE USED THE BRAKE WOULD ONLY BRAKE O</t>
  </si>
  <si>
    <t>HALF WAY</t>
  </si>
  <si>
    <t>C3500</t>
  </si>
  <si>
    <t>WHILE APPLYING BRAKES THEY LOCKED UP WITHOUT INDICATION. DEALER HAS BEEN CONTACTED. PLEASE PROVIDE FURTHER INFORMATION. *AK</t>
  </si>
  <si>
    <t>CONSUMER WAS TRAVELING 20-25 MPH. UPON DEPRESSING THE BRAKE PEDAL TO MAKE A SUDDEN STOP, THE PEDAL TRAVELED TO THE FLOORBOARD, RESULTING IN EXTENDED STOPPING DI</t>
  </si>
  <si>
    <t>WHILE DRIVING AND ATTEMPTED TO STOP, ANTI-LOCK BRAKES DID NOT CATCH, AND CONSUMER RAN INTO THE BACK OF ANOTHER AUTOMOBILE.DRIVER SUSTAINED SOME INJURIES. *A</t>
  </si>
  <si>
    <t>WAS PULLING FROM STOP LIGHT, HAD APPLIED BRAKES SUDDENLY AND BRAKES FAILED TO STOP VEHICLE. REARENDED ANOTHER VEHICLE. DRIVER'S AIR BAG DEPLOYED &amp; BROKE DRIVER'</t>
  </si>
  <si>
    <t>SENECA</t>
  </si>
  <si>
    <t>ANOTHER VEHICLE PULLED IN FRONT QUICKLY. RANGER HIT BRAKES SHARPLY &amp; BRAKES LOCKED UP ON RIGHT SIDE AND SKIDDED. DID NOT HIT OTHER VEHICLE. SKID MARK 92FT. AIR</t>
  </si>
  <si>
    <t>UNION CITY</t>
  </si>
  <si>
    <t>ANTI LOCK BRAKES FAILED ON SEVERAL OCCASSIONS, ONE INCIDENT RESULTED IN A COLLISION WITH VIOLENT DEPLOYMENT OF THE AIR BAG CAUSING BURNS TO ARM.</t>
  </si>
  <si>
    <t>THE COLONY</t>
  </si>
  <si>
    <t>ANT-LOCK BRAKES LOCKED UP CAUSING LOSS OF CONTROL/ACCIDENT NO DEPLOYMENT OF AIR BAG DURING COLLISION.</t>
  </si>
  <si>
    <t>MELBOURNE</t>
  </si>
  <si>
    <t>VEHICLE COLLISION DUE TO FAILURE OF THE ANTI LOCK BRAKES, SEAT BELTS DID NOT RESTRAIN AND THERE WAS NO DEPLOYMENT OF THE AIR BAG.</t>
  </si>
  <si>
    <t>SWAINSBORO</t>
  </si>
  <si>
    <t>ANTI LOCK BRAKE FAILURE RESULTED IN A VEHICLE COLLISION.</t>
  </si>
  <si>
    <t>BRICEVILLE</t>
  </si>
  <si>
    <t>VEHICLE CRASHED BECAUSE ABS FAILED. PEDAL WAS DEPRESSED TO FLOOR WITH NO STOP. ALSO NEITHER OF FRONT AIR BAGS DEPLOYED IN EITHER CRASH.</t>
  </si>
  <si>
    <t>NEWPORT BEAC</t>
  </si>
  <si>
    <t>ABS BRAKES; WHEN APPLYING BRAKES IN NORMAL CONDITIONS THE PEDAL WENT TO THE FLOOR AND BRAKES FAILED TO STOP VEHICLE, CAUSING AN ACCIDENT. DEALER DETERMINED THA</t>
  </si>
  <si>
    <t>BURTON</t>
  </si>
  <si>
    <t>WHILE DRIVING ABOUT 35 MPH AND WHEN APPLYING BRAKE PEDAL TO STOP VEHICLE, IT FELT LIKE IT WAS NOT STOPPING VEHICLE. CONSUMER HAD PROBLEMS WITH THE BRAKES BEFORE</t>
  </si>
  <si>
    <t>UNK</t>
  </si>
  <si>
    <t>UN</t>
  </si>
  <si>
    <t>VEHICLE COLLISION DUE TO ANTI LOCK BRAKE FAILURE.</t>
  </si>
  <si>
    <t>ABS ACTIVATED AND CAUSED A PROLONGED AMOUNT OF STOPPING DISTANCE. DRIVER HAS HAD TWO CRASHES WITH THE VEHICLE DUE TO ABS NOT BEING ABLE TO STOP THE VEHICLE IN</t>
  </si>
  <si>
    <t>WOODLAND HIL</t>
  </si>
  <si>
    <t>VEHICLE ROLLED OVER ONTO THE SIDE BECAUSE OF FAULTY BRAKES. DRIVER DEPRESSED THE BRAKE PEDAL WHEN APPROACHING A STOP SIGN AT 35MPH, AND THE BRAKE PEDAL WOULD</t>
  </si>
  <si>
    <t>PINETOP</t>
  </si>
  <si>
    <t>REAR BRAKES FAILED, AND VEHICLE PULLED EITHER TO THE RIGHT OR LEFT, INCIDENT OCCURRED AT ANY TIME AND AT ANY SPEED. THE DEALER COULD NOT DUPLICATE THE PROBLEM.</t>
  </si>
  <si>
    <t>BOZRAH</t>
  </si>
  <si>
    <t>ABS BRAKES FAILED, VEHICLE LOST CONTROL, RESULTING IN A COLLISION/INJURIES. ALSO VEHICLE WAS TOTALED.</t>
  </si>
  <si>
    <t>POWER SPRING</t>
  </si>
  <si>
    <t>CONSUMER WAS IN DRIVEWAY PULLING INTO A PARKING SPACE WHEN APPLIED THE BRAKES, AND VEHICLE STARTED TO ACCELERATE, CAUSING IT HIT A TREE AND AIR BAGS TO DEPLO</t>
  </si>
  <si>
    <t>CUERO</t>
  </si>
  <si>
    <t>C1500</t>
  </si>
  <si>
    <t>ANTI LOCK BRAKES FAILED RESULTING IN A VEHICLE COLLISION.</t>
  </si>
  <si>
    <t>HUDSON</t>
  </si>
  <si>
    <t>ANTI LOCK BRAKES FAILED RESULTING IN A COLLISION. BURNS CAUSED BY AIR BAGS.</t>
  </si>
  <si>
    <t>WHILE DRIVING ON FREEWAY AT 65MPH, WHEN APPLYING BRAKES, REAR WHEELS LOCKED, VAN WENT OUT OF CONTROL, FLIPPED THREE TIMES, THE PAVEMENT WAS DAMP, NO RAIN, RESUL</t>
  </si>
  <si>
    <t>BLUE SPRIN</t>
  </si>
  <si>
    <t>ANTI LOCK BRAKES FAILED RESULTING IN AN ACCIDENT, NO DEPLOYMENT OF AIR BAG DURING COLLISION.</t>
  </si>
  <si>
    <t>MORENO VAL</t>
  </si>
  <si>
    <t>ANTI LOCK BRAKES FAILED RESULTING IN A COLLISION.</t>
  </si>
  <si>
    <t>OCOEE</t>
  </si>
  <si>
    <t>WAS GOING ABOUT 30 MPH IN STOP &amp; GO TRAFFIC. HAD REARENDED ANOTHER VEHICLE WHEN APPLYING BRAKES AND WAS UNABLE TO STOP. UPON IMPACT, AIR BAGS DID NOT DEPLOY. DR</t>
  </si>
  <si>
    <t>RED BLUFF</t>
  </si>
  <si>
    <t>WHEN COMING OUT OF A RAMP IN THE WAY DOWN, TRIED TO APPLY BRAKES AND STOP VEHICLE, BUT THE BRAKES DID NOT RESPOND, REAR ENDING ANOTHER VEHICLE IN FRONT. DEALER</t>
  </si>
  <si>
    <t>BRISTLE</t>
  </si>
  <si>
    <t>LEFT INTERSTATE AND ENTERING ROADWAY WHEN CONSUMER BEGAN TO BRAKE AND THERE WERE NO BRAKES. REAR ENDED A 18-WHEELER. VEHICLE COULD NOT BE STOPPED, THE AIR BAG</t>
  </si>
  <si>
    <t>WHILE DRIVING 35MPH THE DRIVER STARTED COUGHING &amp; LOST VISIBILITY. DRIVER SLAMMED ON BRAKES &amp; REARENDED ANOTHER VEHICLE. UPON IMPACT, THE DRIVER'S AIR BAG DID N</t>
  </si>
  <si>
    <t>WHITESBURG</t>
  </si>
  <si>
    <t>ABS BRAKES FAILED, RESULTING IN LOSS OF CONTROL/COLLISION. NO DEPLOYMENT OF DRIVER'S/PASSENGER'S AIR BAGS UPON IMPACT. ALSO, DRIVER'S SEAT BELT CAME UNFASTENED.</t>
  </si>
  <si>
    <t>ABS SYSTEM FAILED TWICE, ONC ERESULTING IN A COLLISION.</t>
  </si>
  <si>
    <t>PERRIS</t>
  </si>
  <si>
    <t>ANTI LOCK BRAKES HAVE EXPERIENCED EXTENDED STOPPING DISTANCES AND FAILURES, RESULTING IN A VEHICLE COLLISION.</t>
  </si>
  <si>
    <t>CULVER</t>
  </si>
  <si>
    <t>GOING 50MPH, HIT BRAKES TO AVOID HITTING DEER &amp; VEHICLE SWERVED. BRAKES LOCKED UP &amp; WENT DOWN EMBANKMENT. FRONT END HIT DITCH &amp; THEN FLIPPED OVER, FRONT TO REAR</t>
  </si>
  <si>
    <t>Jeep</t>
  </si>
  <si>
    <t>Toyota</t>
  </si>
  <si>
    <t>Pontiac</t>
  </si>
  <si>
    <t>Chrysler</t>
  </si>
  <si>
    <t>Oldsmobile</t>
  </si>
  <si>
    <t>Honda</t>
  </si>
  <si>
    <t>Dodge</t>
  </si>
  <si>
    <t>Ford</t>
  </si>
  <si>
    <t>Mercedes Benz</t>
  </si>
  <si>
    <t>Mazda</t>
  </si>
  <si>
    <t>Buick</t>
  </si>
  <si>
    <t>Volkswagen</t>
  </si>
  <si>
    <t>Cadillac</t>
  </si>
  <si>
    <t>Acura</t>
  </si>
  <si>
    <t>Lincoln</t>
  </si>
  <si>
    <t>Geo</t>
  </si>
  <si>
    <t>Chevrolet</t>
  </si>
  <si>
    <t>Lexus</t>
  </si>
  <si>
    <t>Audi</t>
  </si>
  <si>
    <t>Eagle</t>
  </si>
  <si>
    <t>Mercury</t>
  </si>
  <si>
    <t>Bmw</t>
  </si>
  <si>
    <t>Nissan</t>
  </si>
  <si>
    <t>Cherokee</t>
  </si>
  <si>
    <t>Tacoma</t>
  </si>
  <si>
    <t>Camry</t>
  </si>
  <si>
    <t>Ram</t>
  </si>
  <si>
    <t>Grand Am</t>
  </si>
  <si>
    <t>Blazer</t>
  </si>
  <si>
    <t>Ram 1500</t>
  </si>
  <si>
    <t>Suburban</t>
  </si>
  <si>
    <t>Jimmy</t>
  </si>
  <si>
    <t>Windstar</t>
  </si>
  <si>
    <t>Savana</t>
  </si>
  <si>
    <t>Concorde</t>
  </si>
  <si>
    <t>Cutlass Supreme</t>
  </si>
  <si>
    <t>Accord</t>
  </si>
  <si>
    <t>Stratus</t>
  </si>
  <si>
    <t>Sonoma</t>
  </si>
  <si>
    <t>Grand Voyager</t>
  </si>
  <si>
    <t>Taurus</t>
  </si>
  <si>
    <t>Crown Victoria</t>
  </si>
  <si>
    <t>Intrepid</t>
  </si>
  <si>
    <t>560</t>
  </si>
  <si>
    <t>Silverado</t>
  </si>
  <si>
    <t>Tahoe</t>
  </si>
  <si>
    <t>Expedition</t>
  </si>
  <si>
    <t>Br Series</t>
  </si>
  <si>
    <t>Safari</t>
  </si>
  <si>
    <t>626</t>
  </si>
  <si>
    <t>Grand Caravan</t>
  </si>
  <si>
    <t>Explorer</t>
  </si>
  <si>
    <t>Vandura</t>
  </si>
  <si>
    <t>Astro</t>
  </si>
  <si>
    <t>Bravada</t>
  </si>
  <si>
    <t>Yukon</t>
  </si>
  <si>
    <t>Ciera</t>
  </si>
  <si>
    <t>Aerostar</t>
  </si>
  <si>
    <t>Lesabre</t>
  </si>
  <si>
    <t>Regal</t>
  </si>
  <si>
    <t>Aurora</t>
  </si>
  <si>
    <t>Grand Prix</t>
  </si>
  <si>
    <t>Trans Sport</t>
  </si>
  <si>
    <t>Forester</t>
  </si>
  <si>
    <t>Jetta</t>
  </si>
  <si>
    <t>Caravan</t>
  </si>
  <si>
    <t>Lhs</t>
  </si>
  <si>
    <t>Seville</t>
  </si>
  <si>
    <t>Cabrio Convertible</t>
  </si>
  <si>
    <t>Continental</t>
  </si>
  <si>
    <t>Prizm</t>
  </si>
  <si>
    <t>Voyager</t>
  </si>
  <si>
    <t>Villager</t>
  </si>
  <si>
    <t>Cavalier</t>
  </si>
  <si>
    <t>Mpv</t>
  </si>
  <si>
    <t>Town Car</t>
  </si>
  <si>
    <t>Firebird</t>
  </si>
  <si>
    <t>Rodeo</t>
  </si>
  <si>
    <t>Passport</t>
  </si>
  <si>
    <t>Ls400</t>
  </si>
  <si>
    <t>2500</t>
  </si>
  <si>
    <t>Pickup</t>
  </si>
  <si>
    <t>Escort</t>
  </si>
  <si>
    <t>Quest</t>
  </si>
  <si>
    <t>Vision</t>
  </si>
  <si>
    <t>Grand Cherokee</t>
  </si>
  <si>
    <t>3500</t>
  </si>
  <si>
    <t>Deville</t>
  </si>
  <si>
    <t>Intrigue</t>
  </si>
  <si>
    <t>Civic</t>
  </si>
  <si>
    <t>Sierra</t>
  </si>
  <si>
    <t>Mystique</t>
  </si>
  <si>
    <t>1500</t>
  </si>
  <si>
    <t>325</t>
  </si>
  <si>
    <t>Ranger</t>
  </si>
  <si>
    <t>Mustang</t>
  </si>
  <si>
    <t>Monte Carlo</t>
  </si>
  <si>
    <t>Millenia</t>
  </si>
  <si>
    <t>Ram 2500</t>
  </si>
  <si>
    <t>Beauville</t>
  </si>
  <si>
    <t>Lumina</t>
  </si>
  <si>
    <t>Ml320</t>
  </si>
  <si>
    <t>Park Avenue</t>
  </si>
  <si>
    <t>Avenger</t>
  </si>
  <si>
    <t>Venture</t>
  </si>
  <si>
    <t>200Sx</t>
  </si>
  <si>
    <t>Dakota</t>
  </si>
  <si>
    <t>Evelyn</t>
  </si>
  <si>
    <t>Susan</t>
  </si>
  <si>
    <t>Tom</t>
  </si>
  <si>
    <t>Beverly</t>
  </si>
  <si>
    <t>Brittney</t>
  </si>
  <si>
    <t>Ronnie</t>
  </si>
  <si>
    <t>Orbit</t>
  </si>
  <si>
    <t>Angelo</t>
  </si>
  <si>
    <t>Russell</t>
  </si>
  <si>
    <t>Michael</t>
  </si>
  <si>
    <t>Socrates</t>
  </si>
  <si>
    <t>Norma</t>
  </si>
  <si>
    <t>Kathy</t>
  </si>
  <si>
    <t>Edrick</t>
  </si>
  <si>
    <t>Francisco</t>
  </si>
  <si>
    <t>Lewis</t>
  </si>
  <si>
    <t>Chuck</t>
  </si>
  <si>
    <t>Lloyd</t>
  </si>
  <si>
    <t>Shawn</t>
  </si>
  <si>
    <t>Betty</t>
  </si>
  <si>
    <t>Larry</t>
  </si>
  <si>
    <t>Allison</t>
  </si>
  <si>
    <t>Joseph</t>
  </si>
  <si>
    <t>Robert</t>
  </si>
  <si>
    <t>Melanie</t>
  </si>
  <si>
    <t>Raymond</t>
  </si>
  <si>
    <t>Andy</t>
  </si>
  <si>
    <t>Brian</t>
  </si>
  <si>
    <t>Romy</t>
  </si>
  <si>
    <t>Ernst</t>
  </si>
  <si>
    <t>Edgar</t>
  </si>
  <si>
    <t>Leslie</t>
  </si>
  <si>
    <t>Jason</t>
  </si>
  <si>
    <t>Johnny</t>
  </si>
  <si>
    <t>Heikki</t>
  </si>
  <si>
    <t>Kurt</t>
  </si>
  <si>
    <t>Dee</t>
  </si>
  <si>
    <t>William</t>
  </si>
  <si>
    <t>Nick</t>
  </si>
  <si>
    <t>Janet</t>
  </si>
  <si>
    <t>Diane</t>
  </si>
  <si>
    <t>Patricia</t>
  </si>
  <si>
    <t>Thomas</t>
  </si>
  <si>
    <t>Kim</t>
  </si>
  <si>
    <t>Matt</t>
  </si>
  <si>
    <t>Vera</t>
  </si>
  <si>
    <t>Ernest</t>
  </si>
  <si>
    <t>Henry</t>
  </si>
  <si>
    <t>Joyce</t>
  </si>
  <si>
    <t>Dennis</t>
  </si>
  <si>
    <t>Ian</t>
  </si>
  <si>
    <t>Richard</t>
  </si>
  <si>
    <t>Frederick</t>
  </si>
  <si>
    <t>Charles</t>
  </si>
  <si>
    <t>Herbert</t>
  </si>
  <si>
    <t>Dana</t>
  </si>
  <si>
    <t>Jim</t>
  </si>
  <si>
    <t>David</t>
  </si>
  <si>
    <t>Reed</t>
  </si>
  <si>
    <t>Mary</t>
  </si>
  <si>
    <t>Jackie</t>
  </si>
  <si>
    <t>Barbara</t>
  </si>
  <si>
    <t>Randy</t>
  </si>
  <si>
    <t>Roger</t>
  </si>
  <si>
    <t>John</t>
  </si>
  <si>
    <t>Neil</t>
  </si>
  <si>
    <t>Gross</t>
  </si>
  <si>
    <t>Anthony</t>
  </si>
  <si>
    <t>Ronald</t>
  </si>
  <si>
    <t>Daniel</t>
  </si>
  <si>
    <t>Tim</t>
  </si>
  <si>
    <t>Debbie</t>
  </si>
  <si>
    <t>Roy</t>
  </si>
  <si>
    <t>Sharon</t>
  </si>
  <si>
    <t>Sandra</t>
  </si>
  <si>
    <t>Alvin</t>
  </si>
  <si>
    <t>Jay</t>
  </si>
  <si>
    <t>Mark</t>
  </si>
  <si>
    <t>Jeff</t>
  </si>
  <si>
    <t>Hal</t>
  </si>
  <si>
    <t>Eric</t>
  </si>
  <si>
    <t>Pamela</t>
  </si>
  <si>
    <t>Evangeline</t>
  </si>
  <si>
    <t>Charlie</t>
  </si>
  <si>
    <t>Troy</t>
  </si>
  <si>
    <t>Jack</t>
  </si>
  <si>
    <t>Johnnie</t>
  </si>
  <si>
    <t>Karen</t>
  </si>
  <si>
    <t>Ellen</t>
  </si>
  <si>
    <t>Bernie</t>
  </si>
  <si>
    <t>Alana</t>
  </si>
  <si>
    <t>Arthur</t>
  </si>
  <si>
    <t>Bobby</t>
  </si>
  <si>
    <t>Rory</t>
  </si>
  <si>
    <t>Aileen</t>
  </si>
  <si>
    <t>Emilio</t>
  </si>
  <si>
    <t>Bruce</t>
  </si>
  <si>
    <t>Harold</t>
  </si>
  <si>
    <t>Hugh</t>
  </si>
  <si>
    <t>Naim</t>
  </si>
  <si>
    <t>Connie</t>
  </si>
  <si>
    <t>Wayne</t>
  </si>
  <si>
    <t>Armand</t>
  </si>
  <si>
    <t>Dawn</t>
  </si>
  <si>
    <t>Skip</t>
  </si>
  <si>
    <t>Bill</t>
  </si>
  <si>
    <t>Christine</t>
  </si>
  <si>
    <t>Mike</t>
  </si>
  <si>
    <t>Edward</t>
  </si>
  <si>
    <t>Chris</t>
  </si>
  <si>
    <t>Josette</t>
  </si>
  <si>
    <t>Jenny</t>
  </si>
  <si>
    <t>Chester</t>
  </si>
  <si>
    <t>Renee</t>
  </si>
  <si>
    <t>Clarence</t>
  </si>
  <si>
    <t>Beth</t>
  </si>
  <si>
    <t>Melissa</t>
  </si>
  <si>
    <t>Clarice</t>
  </si>
  <si>
    <t>Danny</t>
  </si>
  <si>
    <t>Lorraine</t>
  </si>
  <si>
    <t>Franklin</t>
  </si>
  <si>
    <t>Marcus</t>
  </si>
  <si>
    <t>Carol</t>
  </si>
  <si>
    <t>Jenni</t>
  </si>
  <si>
    <t>Melvin</t>
  </si>
  <si>
    <t>Gerald</t>
  </si>
  <si>
    <t>Juanita</t>
  </si>
  <si>
    <t>Jan</t>
  </si>
  <si>
    <t>Rick</t>
  </si>
  <si>
    <t>Dave</t>
  </si>
  <si>
    <t>Faith</t>
  </si>
  <si>
    <t>Larisa</t>
  </si>
  <si>
    <t>Jeanne</t>
  </si>
  <si>
    <t>Lois</t>
  </si>
  <si>
    <t>Gabrielle</t>
  </si>
  <si>
    <t>Sue</t>
  </si>
  <si>
    <t>Sheri</t>
  </si>
  <si>
    <t>Magin</t>
  </si>
  <si>
    <t>Claude</t>
  </si>
  <si>
    <t>Julie</t>
  </si>
  <si>
    <t>Nataleo</t>
  </si>
  <si>
    <t>Greg</t>
  </si>
  <si>
    <t>Lory</t>
  </si>
  <si>
    <t>Ricky</t>
  </si>
  <si>
    <t>Albert</t>
  </si>
  <si>
    <t>Damian</t>
  </si>
  <si>
    <t>Sabo</t>
  </si>
  <si>
    <t>Kisslinger</t>
  </si>
  <si>
    <t>Mcclellan</t>
  </si>
  <si>
    <t>Stokley</t>
  </si>
  <si>
    <t>Booth</t>
  </si>
  <si>
    <t>Pruett</t>
  </si>
  <si>
    <t>Baeten</t>
  </si>
  <si>
    <t>Camarano</t>
  </si>
  <si>
    <t>Walter</t>
  </si>
  <si>
    <t>Thelen</t>
  </si>
  <si>
    <t>Sagris</t>
  </si>
  <si>
    <t>Bender</t>
  </si>
  <si>
    <t>Graves</t>
  </si>
  <si>
    <t>Grier</t>
  </si>
  <si>
    <t>Sanchez</t>
  </si>
  <si>
    <t>Gelinas</t>
  </si>
  <si>
    <t>Ahearn</t>
  </si>
  <si>
    <t>Hare</t>
  </si>
  <si>
    <t>Hill</t>
  </si>
  <si>
    <t>Rose</t>
  </si>
  <si>
    <t>Roppel</t>
  </si>
  <si>
    <t>Troup</t>
  </si>
  <si>
    <t>D'Elia</t>
  </si>
  <si>
    <t>Zastempowski</t>
  </si>
  <si>
    <t>Bauer</t>
  </si>
  <si>
    <t>Knapp</t>
  </si>
  <si>
    <t>Jackson</t>
  </si>
  <si>
    <t>Amenta</t>
  </si>
  <si>
    <t>Saint-Hilaire</t>
  </si>
  <si>
    <t>Sartorius</t>
  </si>
  <si>
    <t>Castillo</t>
  </si>
  <si>
    <t>Neptune</t>
  </si>
  <si>
    <t>Powell</t>
  </si>
  <si>
    <t>Keinanen</t>
  </si>
  <si>
    <t>Weiss</t>
  </si>
  <si>
    <t>Belau</t>
  </si>
  <si>
    <t>Watson</t>
  </si>
  <si>
    <t>Weber</t>
  </si>
  <si>
    <t>Sparacino</t>
  </si>
  <si>
    <t>Hoffmann</t>
  </si>
  <si>
    <t>Farrell</t>
  </si>
  <si>
    <t>Abutin</t>
  </si>
  <si>
    <t>Llapitan</t>
  </si>
  <si>
    <t>Shorts</t>
  </si>
  <si>
    <t>Barcomb</t>
  </si>
  <si>
    <t>Welsh</t>
  </si>
  <si>
    <t>Rudisill</t>
  </si>
  <si>
    <t>Trainor</t>
  </si>
  <si>
    <t>Federico</t>
  </si>
  <si>
    <t>Higgs</t>
  </si>
  <si>
    <t>Johansky</t>
  </si>
  <si>
    <t>Davis</t>
  </si>
  <si>
    <t>Anderson</t>
  </si>
  <si>
    <t>Callahan</t>
  </si>
  <si>
    <t>Shears</t>
  </si>
  <si>
    <t>Dayton</t>
  </si>
  <si>
    <t>Kirkland</t>
  </si>
  <si>
    <t>Ringler</t>
  </si>
  <si>
    <t>Loughran</t>
  </si>
  <si>
    <t>Osborn</t>
  </si>
  <si>
    <t>Brandon</t>
  </si>
  <si>
    <t>Lindsay</t>
  </si>
  <si>
    <t>Burnette</t>
  </si>
  <si>
    <t>O'Neill</t>
  </si>
  <si>
    <t>Jaynes</t>
  </si>
  <si>
    <t>Reynolds</t>
  </si>
  <si>
    <t>Aimone</t>
  </si>
  <si>
    <t>Bangs</t>
  </si>
  <si>
    <t>Halvorsen</t>
  </si>
  <si>
    <t>Sever</t>
  </si>
  <si>
    <t>Flanagan</t>
  </si>
  <si>
    <t>Jerabek</t>
  </si>
  <si>
    <t>Brage</t>
  </si>
  <si>
    <t>Rickert</t>
  </si>
  <si>
    <t>Alcock</t>
  </si>
  <si>
    <t>Oney</t>
  </si>
  <si>
    <t>Bearden</t>
  </si>
  <si>
    <t>Swidey</t>
  </si>
  <si>
    <t>Martin</t>
  </si>
  <si>
    <t>Zeinert</t>
  </si>
  <si>
    <t>Madewell</t>
  </si>
  <si>
    <t>Rasmussen</t>
  </si>
  <si>
    <t>Renshaw</t>
  </si>
  <si>
    <t>Sprouse</t>
  </si>
  <si>
    <t>Dunaway</t>
  </si>
  <si>
    <t>Achziger</t>
  </si>
  <si>
    <t>Reno</t>
  </si>
  <si>
    <t>Hallstrom</t>
  </si>
  <si>
    <t>Schindell</t>
  </si>
  <si>
    <t>Clark</t>
  </si>
  <si>
    <t>Walker</t>
  </si>
  <si>
    <t>Thompson</t>
  </si>
  <si>
    <t>Baker</t>
  </si>
  <si>
    <t>Irwin</t>
  </si>
  <si>
    <t>Mcglashing</t>
  </si>
  <si>
    <t>Delucia</t>
  </si>
  <si>
    <t>Edwards</t>
  </si>
  <si>
    <t>Simms</t>
  </si>
  <si>
    <t>Miller</t>
  </si>
  <si>
    <t>Duck</t>
  </si>
  <si>
    <t>Ambrosetti</t>
  </si>
  <si>
    <t>Cervoni</t>
  </si>
  <si>
    <t>Hopkins</t>
  </si>
  <si>
    <t>Reale</t>
  </si>
  <si>
    <t>Clinton</t>
  </si>
  <si>
    <t>Boutin</t>
  </si>
  <si>
    <t>Butler</t>
  </si>
  <si>
    <t>Exiner</t>
  </si>
  <si>
    <t>Getz</t>
  </si>
  <si>
    <t>Wilder</t>
  </si>
  <si>
    <t>Epling</t>
  </si>
  <si>
    <t>Farris</t>
  </si>
  <si>
    <t>Vicente</t>
  </si>
  <si>
    <t>Nelson</t>
  </si>
  <si>
    <t>Lampert</t>
  </si>
  <si>
    <t>Webb</t>
  </si>
  <si>
    <t>Nasrallah</t>
  </si>
  <si>
    <t>Johannson</t>
  </si>
  <si>
    <t>Stewart</t>
  </si>
  <si>
    <t>Palon</t>
  </si>
  <si>
    <t>Bergeron</t>
  </si>
  <si>
    <t>Roth</t>
  </si>
  <si>
    <t>Quillen</t>
  </si>
  <si>
    <t>Mcculloch</t>
  </si>
  <si>
    <t>Defrias</t>
  </si>
  <si>
    <t>Peterson</t>
  </si>
  <si>
    <t>Haarala</t>
  </si>
  <si>
    <t>Childers</t>
  </si>
  <si>
    <t>Onsager</t>
  </si>
  <si>
    <t>Stephens</t>
  </si>
  <si>
    <t>Hilburn</t>
  </si>
  <si>
    <t>Kozlik</t>
  </si>
  <si>
    <t>Hamm</t>
  </si>
  <si>
    <t>Mulwee</t>
  </si>
  <si>
    <t>Yoskowitz</t>
  </si>
  <si>
    <t>Barrickman</t>
  </si>
  <si>
    <t>Willard</t>
  </si>
  <si>
    <t>Ross</t>
  </si>
  <si>
    <t>Obie</t>
  </si>
  <si>
    <t>Schuler</t>
  </si>
  <si>
    <t>Thornber</t>
  </si>
  <si>
    <t>Elvis</t>
  </si>
  <si>
    <t>Bass</t>
  </si>
  <si>
    <t>Gonzalez</t>
  </si>
  <si>
    <t>Handy</t>
  </si>
  <si>
    <t>Rupert</t>
  </si>
  <si>
    <t>Matthews</t>
  </si>
  <si>
    <t>Comber</t>
  </si>
  <si>
    <t>Heger</t>
  </si>
  <si>
    <t>Morin</t>
  </si>
  <si>
    <t>Cook</t>
  </si>
  <si>
    <t>Galperina</t>
  </si>
  <si>
    <t>Kaczynski</t>
  </si>
  <si>
    <t>Cristiano</t>
  </si>
  <si>
    <t>Haines</t>
  </si>
  <si>
    <t>Watts</t>
  </si>
  <si>
    <t>Phifer</t>
  </si>
  <si>
    <t>Carlton</t>
  </si>
  <si>
    <t>Aman</t>
  </si>
  <si>
    <t>Garcia</t>
  </si>
  <si>
    <t>Hart</t>
  </si>
  <si>
    <t>Bienamann</t>
  </si>
  <si>
    <t>Autrey</t>
  </si>
  <si>
    <t>Roeder-Marsh</t>
  </si>
  <si>
    <t>Aleman</t>
  </si>
  <si>
    <t>Dial</t>
  </si>
  <si>
    <t>Dansky</t>
  </si>
  <si>
    <t>Speagle</t>
  </si>
  <si>
    <t>Ruchalski</t>
  </si>
  <si>
    <t>Marks</t>
  </si>
  <si>
    <t>Garneau</t>
  </si>
  <si>
    <t>Plymouth</t>
  </si>
  <si>
    <t>Subaru</t>
  </si>
  <si>
    <t>Isuzu</t>
  </si>
  <si>
    <t>Message Sent</t>
  </si>
  <si>
    <t>fname</t>
  </si>
  <si>
    <t>lname</t>
  </si>
  <si>
    <t>makename</t>
  </si>
  <si>
    <t>yeartxt</t>
  </si>
  <si>
    <t>WHILE DRIVING 50 MPH AND HAD ENOUGH TIME TO STOP VEHICLE, BUT BRAKING SYSTEM MALFUNCTIONED, CAUSING NO BRAKING ABILITY AT ALL. WITHOUT ANY WARNING IT RESULED IN AN ACCIDENT.</t>
  </si>
  <si>
    <t>WHEN PULLING INTO A TURNING LANE WENT TO APPLY THE BRAKES AND THE PEDAL WENT ALL THE WAY TO THE GROUND RESULTING IN A COLlISION</t>
  </si>
  <si>
    <t>I WAS INVOLVED IN AN ACCIDENT ON MAY 6, 2019. I HAD A VEHICLE PULL OUT IN FRONT OF ME GOING ABOUT 65 MPH. I ENDED UP T- BONING HIM ON HIS DRIVER SIDE. MY AIR BAG DID NOT DEPLOY</t>
  </si>
  <si>
    <t>IN DRY ROAD CONDITIONS ON I-5 NORTHBOUND WE NOTICED THAT TRAFFIC WAS STOPPING AHEAD OF US AND APPLIED BRAKES. WE HAD ALREADY SLOWED TO APPROX 50MPH BEFORE BRAKES FAILED CAUSING A REAR-END COLLISION</t>
  </si>
  <si>
    <t>2018 CHEVROLET TRUCK SHOULD NOT HAVE THIS MANY PROBLEMS AND CONSIDERED SAFE *AK</t>
  </si>
  <si>
    <t>Mq(;q"]X2o9rKAk_q_</t>
  </si>
  <si>
    <t>BRAKES</t>
  </si>
  <si>
    <t>HYDRAULIC</t>
  </si>
  <si>
    <t>ANTI-SKID SYSTEM</t>
  </si>
  <si>
    <t>system</t>
  </si>
  <si>
    <t>XkmkW&gt;"d8(</t>
  </si>
  <si>
    <t>\y" VwM4}Z}fB%7I</t>
  </si>
  <si>
    <t>gove@gmail.com</t>
  </si>
  <si>
    <t>Message</t>
  </si>
  <si>
    <t>email_message.txt</t>
  </si>
  <si>
    <t>failyear</t>
  </si>
  <si>
    <t>gove@byu.edu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</si>
</sst>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b/>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9">
    <xf numFmtId="0" fontId="0" fillId="0" borderId="0" xfId="0"/>
    <xf numFmtId="22" fontId="0" fillId="0" borderId="0" xfId="0" applyNumberFormat="1"/>
    <xf numFmtId="0" fontId="1" fillId="0" borderId="0" xfId="0" applyFont="1"/>
    <xf numFmtId="0" fontId="2" fillId="2" borderId="0" xfId="0" applyFont="1" applyFill="1"/>
    <xf numFmtId="0" fontId="2" fillId="0" borderId="0" xfId="0" applyFont="1"/>
    <xf numFmtId="14" fontId="0" fillId="0" borderId="0" xfId="0" applyNumberFormat="1"/>
    <xf numFmtId="0" fontId="3" fillId="0" borderId="0" xfId="1"/>
    <xf numFmtId="0" fontId="2" fillId="2" borderId="0" xfId="0" applyNumberFormat="1" applyFont="1" applyFill="1"/>
    <xf numFmtId="0" fontId="0" fillId="0" borderId="0" xfId="0" applyNumberForma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websql.aspx?mode=23&amp;code=744447h826331700" connectionId="1" xr16:uid="{00000000-0016-0000-00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websql.aspx?mode=23&amp;code=744447h826331700_1" connectionId="2" xr16:uid="{6073C272-6D28-4CE5-85D9-EB38D88DD5E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gove@gmail.com" TargetMode="External"/><Relationship Id="rId1" Type="http://schemas.openxmlformats.org/officeDocument/2006/relationships/hyperlink" Target="mailto:gove@gmail.com" TargetMode="External"/><Relationship Id="rId5" Type="http://schemas.openxmlformats.org/officeDocument/2006/relationships/queryTable" Target="../queryTables/queryTable2.xml"/><Relationship Id="rId4"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
  <dimension ref="A1:Q187"/>
  <sheetViews>
    <sheetView tabSelected="1" workbookViewId="0">
      <selection activeCell="A2" sqref="A2:A5"/>
    </sheetView>
  </sheetViews>
  <sheetFormatPr defaultRowHeight="15" x14ac:dyDescent="0.25"/>
  <cols>
    <col min="1" max="1" width="13.42578125" bestFit="1" customWidth="1"/>
    <col min="2" max="2" width="27.140625" customWidth="1"/>
    <col min="3" max="3" width="10.7109375" bestFit="1" customWidth="1"/>
    <col min="4" max="4" width="13.85546875" bestFit="1" customWidth="1"/>
    <col min="5" max="5" width="16.42578125" bestFit="1" customWidth="1"/>
    <col min="6" max="6" width="15.85546875" bestFit="1" customWidth="1"/>
    <col min="7" max="7" width="5.42578125" bestFit="1" customWidth="1"/>
    <col min="8" max="8" width="10.7109375" bestFit="1" customWidth="1"/>
    <col min="9" max="9" width="29.28515625" bestFit="1" customWidth="1"/>
    <col min="10" max="10" width="14.5703125" bestFit="1" customWidth="1"/>
    <col min="11" max="11" width="17.85546875" bestFit="1" customWidth="1"/>
    <col min="12" max="12" width="7.28515625" bestFit="1" customWidth="1"/>
    <col min="13" max="13" width="10.7109375" bestFit="1" customWidth="1"/>
    <col min="14" max="14" width="10.7109375" style="8" customWidth="1"/>
    <col min="15" max="15" width="17.42578125" bestFit="1" customWidth="1"/>
    <col min="16" max="16" width="7.42578125" bestFit="1" customWidth="1"/>
    <col min="17" max="17" width="174.7109375" bestFit="1" customWidth="1"/>
    <col min="258" max="258" width="15.85546875" bestFit="1" customWidth="1"/>
    <col min="259" max="259" width="12.140625" bestFit="1" customWidth="1"/>
    <col min="260" max="260" width="15.28515625" bestFit="1" customWidth="1"/>
    <col min="261" max="261" width="25.28515625" bestFit="1" customWidth="1"/>
    <col min="262" max="262" width="15.85546875" bestFit="1" customWidth="1"/>
    <col min="263" max="263" width="6" bestFit="1" customWidth="1"/>
    <col min="264" max="264" width="10.7109375" bestFit="1" customWidth="1"/>
    <col min="265" max="265" width="29.28515625" bestFit="1" customWidth="1"/>
    <col min="266" max="266" width="18.7109375" bestFit="1" customWidth="1"/>
    <col min="267" max="267" width="20.42578125" bestFit="1" customWidth="1"/>
    <col min="268" max="268" width="7.85546875" bestFit="1" customWidth="1"/>
    <col min="269" max="269" width="10.7109375" bestFit="1" customWidth="1"/>
    <col min="270" max="270" width="42.42578125" bestFit="1" customWidth="1"/>
    <col min="271" max="271" width="8" bestFit="1" customWidth="1"/>
    <col min="272" max="272" width="81.140625" bestFit="1" customWidth="1"/>
    <col min="514" max="514" width="15.85546875" bestFit="1" customWidth="1"/>
    <col min="515" max="515" width="12.140625" bestFit="1" customWidth="1"/>
    <col min="516" max="516" width="15.28515625" bestFit="1" customWidth="1"/>
    <col min="517" max="517" width="25.28515625" bestFit="1" customWidth="1"/>
    <col min="518" max="518" width="15.85546875" bestFit="1" customWidth="1"/>
    <col min="519" max="519" width="6" bestFit="1" customWidth="1"/>
    <col min="520" max="520" width="10.7109375" bestFit="1" customWidth="1"/>
    <col min="521" max="521" width="29.28515625" bestFit="1" customWidth="1"/>
    <col min="522" max="522" width="18.7109375" bestFit="1" customWidth="1"/>
    <col min="523" max="523" width="20.42578125" bestFit="1" customWidth="1"/>
    <col min="524" max="524" width="7.85546875" bestFit="1" customWidth="1"/>
    <col min="525" max="525" width="10.7109375" bestFit="1" customWidth="1"/>
    <col min="526" max="526" width="42.42578125" bestFit="1" customWidth="1"/>
    <col min="527" max="527" width="8" bestFit="1" customWidth="1"/>
    <col min="528" max="528" width="81.140625" bestFit="1" customWidth="1"/>
    <col min="770" max="770" width="15.85546875" bestFit="1" customWidth="1"/>
    <col min="771" max="771" width="12.140625" bestFit="1" customWidth="1"/>
    <col min="772" max="772" width="15.28515625" bestFit="1" customWidth="1"/>
    <col min="773" max="773" width="25.28515625" bestFit="1" customWidth="1"/>
    <col min="774" max="774" width="15.85546875" bestFit="1" customWidth="1"/>
    <col min="775" max="775" width="6" bestFit="1" customWidth="1"/>
    <col min="776" max="776" width="10.7109375" bestFit="1" customWidth="1"/>
    <col min="777" max="777" width="29.28515625" bestFit="1" customWidth="1"/>
    <col min="778" max="778" width="18.7109375" bestFit="1" customWidth="1"/>
    <col min="779" max="779" width="20.42578125" bestFit="1" customWidth="1"/>
    <col min="780" max="780" width="7.85546875" bestFit="1" customWidth="1"/>
    <col min="781" max="781" width="10.7109375" bestFit="1" customWidth="1"/>
    <col min="782" max="782" width="42.42578125" bestFit="1" customWidth="1"/>
    <col min="783" max="783" width="8" bestFit="1" customWidth="1"/>
    <col min="784" max="784" width="81.140625" bestFit="1" customWidth="1"/>
    <col min="1026" max="1026" width="15.85546875" bestFit="1" customWidth="1"/>
    <col min="1027" max="1027" width="12.140625" bestFit="1" customWidth="1"/>
    <col min="1028" max="1028" width="15.28515625" bestFit="1" customWidth="1"/>
    <col min="1029" max="1029" width="25.28515625" bestFit="1" customWidth="1"/>
    <col min="1030" max="1030" width="15.85546875" bestFit="1" customWidth="1"/>
    <col min="1031" max="1031" width="6" bestFit="1" customWidth="1"/>
    <col min="1032" max="1032" width="10.7109375" bestFit="1" customWidth="1"/>
    <col min="1033" max="1033" width="29.28515625" bestFit="1" customWidth="1"/>
    <col min="1034" max="1034" width="18.7109375" bestFit="1" customWidth="1"/>
    <col min="1035" max="1035" width="20.42578125" bestFit="1" customWidth="1"/>
    <col min="1036" max="1036" width="7.85546875" bestFit="1" customWidth="1"/>
    <col min="1037" max="1037" width="10.7109375" bestFit="1" customWidth="1"/>
    <col min="1038" max="1038" width="42.42578125" bestFit="1" customWidth="1"/>
    <col min="1039" max="1039" width="8" bestFit="1" customWidth="1"/>
    <col min="1040" max="1040" width="81.140625" bestFit="1" customWidth="1"/>
    <col min="1282" max="1282" width="15.85546875" bestFit="1" customWidth="1"/>
    <col min="1283" max="1283" width="12.140625" bestFit="1" customWidth="1"/>
    <col min="1284" max="1284" width="15.28515625" bestFit="1" customWidth="1"/>
    <col min="1285" max="1285" width="25.28515625" bestFit="1" customWidth="1"/>
    <col min="1286" max="1286" width="15.85546875" bestFit="1" customWidth="1"/>
    <col min="1287" max="1287" width="6" bestFit="1" customWidth="1"/>
    <col min="1288" max="1288" width="10.7109375" bestFit="1" customWidth="1"/>
    <col min="1289" max="1289" width="29.28515625" bestFit="1" customWidth="1"/>
    <col min="1290" max="1290" width="18.7109375" bestFit="1" customWidth="1"/>
    <col min="1291" max="1291" width="20.42578125" bestFit="1" customWidth="1"/>
    <col min="1292" max="1292" width="7.85546875" bestFit="1" customWidth="1"/>
    <col min="1293" max="1293" width="10.7109375" bestFit="1" customWidth="1"/>
    <col min="1294" max="1294" width="42.42578125" bestFit="1" customWidth="1"/>
    <col min="1295" max="1295" width="8" bestFit="1" customWidth="1"/>
    <col min="1296" max="1296" width="81.140625" bestFit="1" customWidth="1"/>
    <col min="1538" max="1538" width="15.85546875" bestFit="1" customWidth="1"/>
    <col min="1539" max="1539" width="12.140625" bestFit="1" customWidth="1"/>
    <col min="1540" max="1540" width="15.28515625" bestFit="1" customWidth="1"/>
    <col min="1541" max="1541" width="25.28515625" bestFit="1" customWidth="1"/>
    <col min="1542" max="1542" width="15.85546875" bestFit="1" customWidth="1"/>
    <col min="1543" max="1543" width="6" bestFit="1" customWidth="1"/>
    <col min="1544" max="1544" width="10.7109375" bestFit="1" customWidth="1"/>
    <col min="1545" max="1545" width="29.28515625" bestFit="1" customWidth="1"/>
    <col min="1546" max="1546" width="18.7109375" bestFit="1" customWidth="1"/>
    <col min="1547" max="1547" width="20.42578125" bestFit="1" customWidth="1"/>
    <col min="1548" max="1548" width="7.85546875" bestFit="1" customWidth="1"/>
    <col min="1549" max="1549" width="10.7109375" bestFit="1" customWidth="1"/>
    <col min="1550" max="1550" width="42.42578125" bestFit="1" customWidth="1"/>
    <col min="1551" max="1551" width="8" bestFit="1" customWidth="1"/>
    <col min="1552" max="1552" width="81.140625" bestFit="1" customWidth="1"/>
    <col min="1794" max="1794" width="15.85546875" bestFit="1" customWidth="1"/>
    <col min="1795" max="1795" width="12.140625" bestFit="1" customWidth="1"/>
    <col min="1796" max="1796" width="15.28515625" bestFit="1" customWidth="1"/>
    <col min="1797" max="1797" width="25.28515625" bestFit="1" customWidth="1"/>
    <col min="1798" max="1798" width="15.85546875" bestFit="1" customWidth="1"/>
    <col min="1799" max="1799" width="6" bestFit="1" customWidth="1"/>
    <col min="1800" max="1800" width="10.7109375" bestFit="1" customWidth="1"/>
    <col min="1801" max="1801" width="29.28515625" bestFit="1" customWidth="1"/>
    <col min="1802" max="1802" width="18.7109375" bestFit="1" customWidth="1"/>
    <col min="1803" max="1803" width="20.42578125" bestFit="1" customWidth="1"/>
    <col min="1804" max="1804" width="7.85546875" bestFit="1" customWidth="1"/>
    <col min="1805" max="1805" width="10.7109375" bestFit="1" customWidth="1"/>
    <col min="1806" max="1806" width="42.42578125" bestFit="1" customWidth="1"/>
    <col min="1807" max="1807" width="8" bestFit="1" customWidth="1"/>
    <col min="1808" max="1808" width="81.140625" bestFit="1" customWidth="1"/>
    <col min="2050" max="2050" width="15.85546875" bestFit="1" customWidth="1"/>
    <col min="2051" max="2051" width="12.140625" bestFit="1" customWidth="1"/>
    <col min="2052" max="2052" width="15.28515625" bestFit="1" customWidth="1"/>
    <col min="2053" max="2053" width="25.28515625" bestFit="1" customWidth="1"/>
    <col min="2054" max="2054" width="15.85546875" bestFit="1" customWidth="1"/>
    <col min="2055" max="2055" width="6" bestFit="1" customWidth="1"/>
    <col min="2056" max="2056" width="10.7109375" bestFit="1" customWidth="1"/>
    <col min="2057" max="2057" width="29.28515625" bestFit="1" customWidth="1"/>
    <col min="2058" max="2058" width="18.7109375" bestFit="1" customWidth="1"/>
    <col min="2059" max="2059" width="20.42578125" bestFit="1" customWidth="1"/>
    <col min="2060" max="2060" width="7.85546875" bestFit="1" customWidth="1"/>
    <col min="2061" max="2061" width="10.7109375" bestFit="1" customWidth="1"/>
    <col min="2062" max="2062" width="42.42578125" bestFit="1" customWidth="1"/>
    <col min="2063" max="2063" width="8" bestFit="1" customWidth="1"/>
    <col min="2064" max="2064" width="81.140625" bestFit="1" customWidth="1"/>
    <col min="2306" max="2306" width="15.85546875" bestFit="1" customWidth="1"/>
    <col min="2307" max="2307" width="12.140625" bestFit="1" customWidth="1"/>
    <col min="2308" max="2308" width="15.28515625" bestFit="1" customWidth="1"/>
    <col min="2309" max="2309" width="25.28515625" bestFit="1" customWidth="1"/>
    <col min="2310" max="2310" width="15.85546875" bestFit="1" customWidth="1"/>
    <col min="2311" max="2311" width="6" bestFit="1" customWidth="1"/>
    <col min="2312" max="2312" width="10.7109375" bestFit="1" customWidth="1"/>
    <col min="2313" max="2313" width="29.28515625" bestFit="1" customWidth="1"/>
    <col min="2314" max="2314" width="18.7109375" bestFit="1" customWidth="1"/>
    <col min="2315" max="2315" width="20.42578125" bestFit="1" customWidth="1"/>
    <col min="2316" max="2316" width="7.85546875" bestFit="1" customWidth="1"/>
    <col min="2317" max="2317" width="10.7109375" bestFit="1" customWidth="1"/>
    <col min="2318" max="2318" width="42.42578125" bestFit="1" customWidth="1"/>
    <col min="2319" max="2319" width="8" bestFit="1" customWidth="1"/>
    <col min="2320" max="2320" width="81.140625" bestFit="1" customWidth="1"/>
    <col min="2562" max="2562" width="15.85546875" bestFit="1" customWidth="1"/>
    <col min="2563" max="2563" width="12.140625" bestFit="1" customWidth="1"/>
    <col min="2564" max="2564" width="15.28515625" bestFit="1" customWidth="1"/>
    <col min="2565" max="2565" width="25.28515625" bestFit="1" customWidth="1"/>
    <col min="2566" max="2566" width="15.85546875" bestFit="1" customWidth="1"/>
    <col min="2567" max="2567" width="6" bestFit="1" customWidth="1"/>
    <col min="2568" max="2568" width="10.7109375" bestFit="1" customWidth="1"/>
    <col min="2569" max="2569" width="29.28515625" bestFit="1" customWidth="1"/>
    <col min="2570" max="2570" width="18.7109375" bestFit="1" customWidth="1"/>
    <col min="2571" max="2571" width="20.42578125" bestFit="1" customWidth="1"/>
    <col min="2572" max="2572" width="7.85546875" bestFit="1" customWidth="1"/>
    <col min="2573" max="2573" width="10.7109375" bestFit="1" customWidth="1"/>
    <col min="2574" max="2574" width="42.42578125" bestFit="1" customWidth="1"/>
    <col min="2575" max="2575" width="8" bestFit="1" customWidth="1"/>
    <col min="2576" max="2576" width="81.140625" bestFit="1" customWidth="1"/>
    <col min="2818" max="2818" width="15.85546875" bestFit="1" customWidth="1"/>
    <col min="2819" max="2819" width="12.140625" bestFit="1" customWidth="1"/>
    <col min="2820" max="2820" width="15.28515625" bestFit="1" customWidth="1"/>
    <col min="2821" max="2821" width="25.28515625" bestFit="1" customWidth="1"/>
    <col min="2822" max="2822" width="15.85546875" bestFit="1" customWidth="1"/>
    <col min="2823" max="2823" width="6" bestFit="1" customWidth="1"/>
    <col min="2824" max="2824" width="10.7109375" bestFit="1" customWidth="1"/>
    <col min="2825" max="2825" width="29.28515625" bestFit="1" customWidth="1"/>
    <col min="2826" max="2826" width="18.7109375" bestFit="1" customWidth="1"/>
    <col min="2827" max="2827" width="20.42578125" bestFit="1" customWidth="1"/>
    <col min="2828" max="2828" width="7.85546875" bestFit="1" customWidth="1"/>
    <col min="2829" max="2829" width="10.7109375" bestFit="1" customWidth="1"/>
    <col min="2830" max="2830" width="42.42578125" bestFit="1" customWidth="1"/>
    <col min="2831" max="2831" width="8" bestFit="1" customWidth="1"/>
    <col min="2832" max="2832" width="81.140625" bestFit="1" customWidth="1"/>
    <col min="3074" max="3074" width="15.85546875" bestFit="1" customWidth="1"/>
    <col min="3075" max="3075" width="12.140625" bestFit="1" customWidth="1"/>
    <col min="3076" max="3076" width="15.28515625" bestFit="1" customWidth="1"/>
    <col min="3077" max="3077" width="25.28515625" bestFit="1" customWidth="1"/>
    <col min="3078" max="3078" width="15.85546875" bestFit="1" customWidth="1"/>
    <col min="3079" max="3079" width="6" bestFit="1" customWidth="1"/>
    <col min="3080" max="3080" width="10.7109375" bestFit="1" customWidth="1"/>
    <col min="3081" max="3081" width="29.28515625" bestFit="1" customWidth="1"/>
    <col min="3082" max="3082" width="18.7109375" bestFit="1" customWidth="1"/>
    <col min="3083" max="3083" width="20.42578125" bestFit="1" customWidth="1"/>
    <col min="3084" max="3084" width="7.85546875" bestFit="1" customWidth="1"/>
    <col min="3085" max="3085" width="10.7109375" bestFit="1" customWidth="1"/>
    <col min="3086" max="3086" width="42.42578125" bestFit="1" customWidth="1"/>
    <col min="3087" max="3087" width="8" bestFit="1" customWidth="1"/>
    <col min="3088" max="3088" width="81.140625" bestFit="1" customWidth="1"/>
    <col min="3330" max="3330" width="15.85546875" bestFit="1" customWidth="1"/>
    <col min="3331" max="3331" width="12.140625" bestFit="1" customWidth="1"/>
    <col min="3332" max="3332" width="15.28515625" bestFit="1" customWidth="1"/>
    <col min="3333" max="3333" width="25.28515625" bestFit="1" customWidth="1"/>
    <col min="3334" max="3334" width="15.85546875" bestFit="1" customWidth="1"/>
    <col min="3335" max="3335" width="6" bestFit="1" customWidth="1"/>
    <col min="3336" max="3336" width="10.7109375" bestFit="1" customWidth="1"/>
    <col min="3337" max="3337" width="29.28515625" bestFit="1" customWidth="1"/>
    <col min="3338" max="3338" width="18.7109375" bestFit="1" customWidth="1"/>
    <col min="3339" max="3339" width="20.42578125" bestFit="1" customWidth="1"/>
    <col min="3340" max="3340" width="7.85546875" bestFit="1" customWidth="1"/>
    <col min="3341" max="3341" width="10.7109375" bestFit="1" customWidth="1"/>
    <col min="3342" max="3342" width="42.42578125" bestFit="1" customWidth="1"/>
    <col min="3343" max="3343" width="8" bestFit="1" customWidth="1"/>
    <col min="3344" max="3344" width="81.140625" bestFit="1" customWidth="1"/>
    <col min="3586" max="3586" width="15.85546875" bestFit="1" customWidth="1"/>
    <col min="3587" max="3587" width="12.140625" bestFit="1" customWidth="1"/>
    <col min="3588" max="3588" width="15.28515625" bestFit="1" customWidth="1"/>
    <col min="3589" max="3589" width="25.28515625" bestFit="1" customWidth="1"/>
    <col min="3590" max="3590" width="15.85546875" bestFit="1" customWidth="1"/>
    <col min="3591" max="3591" width="6" bestFit="1" customWidth="1"/>
    <col min="3592" max="3592" width="10.7109375" bestFit="1" customWidth="1"/>
    <col min="3593" max="3593" width="29.28515625" bestFit="1" customWidth="1"/>
    <col min="3594" max="3594" width="18.7109375" bestFit="1" customWidth="1"/>
    <col min="3595" max="3595" width="20.42578125" bestFit="1" customWidth="1"/>
    <col min="3596" max="3596" width="7.85546875" bestFit="1" customWidth="1"/>
    <col min="3597" max="3597" width="10.7109375" bestFit="1" customWidth="1"/>
    <col min="3598" max="3598" width="42.42578125" bestFit="1" customWidth="1"/>
    <col min="3599" max="3599" width="8" bestFit="1" customWidth="1"/>
    <col min="3600" max="3600" width="81.140625" bestFit="1" customWidth="1"/>
    <col min="3842" max="3842" width="15.85546875" bestFit="1" customWidth="1"/>
    <col min="3843" max="3843" width="12.140625" bestFit="1" customWidth="1"/>
    <col min="3844" max="3844" width="15.28515625" bestFit="1" customWidth="1"/>
    <col min="3845" max="3845" width="25.28515625" bestFit="1" customWidth="1"/>
    <col min="3846" max="3846" width="15.85546875" bestFit="1" customWidth="1"/>
    <col min="3847" max="3847" width="6" bestFit="1" customWidth="1"/>
    <col min="3848" max="3848" width="10.7109375" bestFit="1" customWidth="1"/>
    <col min="3849" max="3849" width="29.28515625" bestFit="1" customWidth="1"/>
    <col min="3850" max="3850" width="18.7109375" bestFit="1" customWidth="1"/>
    <col min="3851" max="3851" width="20.42578125" bestFit="1" customWidth="1"/>
    <col min="3852" max="3852" width="7.85546875" bestFit="1" customWidth="1"/>
    <col min="3853" max="3853" width="10.7109375" bestFit="1" customWidth="1"/>
    <col min="3854" max="3854" width="42.42578125" bestFit="1" customWidth="1"/>
    <col min="3855" max="3855" width="8" bestFit="1" customWidth="1"/>
    <col min="3856" max="3856" width="81.140625" bestFit="1" customWidth="1"/>
    <col min="4098" max="4098" width="15.85546875" bestFit="1" customWidth="1"/>
    <col min="4099" max="4099" width="12.140625" bestFit="1" customWidth="1"/>
    <col min="4100" max="4100" width="15.28515625" bestFit="1" customWidth="1"/>
    <col min="4101" max="4101" width="25.28515625" bestFit="1" customWidth="1"/>
    <col min="4102" max="4102" width="15.85546875" bestFit="1" customWidth="1"/>
    <col min="4103" max="4103" width="6" bestFit="1" customWidth="1"/>
    <col min="4104" max="4104" width="10.7109375" bestFit="1" customWidth="1"/>
    <col min="4105" max="4105" width="29.28515625" bestFit="1" customWidth="1"/>
    <col min="4106" max="4106" width="18.7109375" bestFit="1" customWidth="1"/>
    <col min="4107" max="4107" width="20.42578125" bestFit="1" customWidth="1"/>
    <col min="4108" max="4108" width="7.85546875" bestFit="1" customWidth="1"/>
    <col min="4109" max="4109" width="10.7109375" bestFit="1" customWidth="1"/>
    <col min="4110" max="4110" width="42.42578125" bestFit="1" customWidth="1"/>
    <col min="4111" max="4111" width="8" bestFit="1" customWidth="1"/>
    <col min="4112" max="4112" width="81.140625" bestFit="1" customWidth="1"/>
    <col min="4354" max="4354" width="15.85546875" bestFit="1" customWidth="1"/>
    <col min="4355" max="4355" width="12.140625" bestFit="1" customWidth="1"/>
    <col min="4356" max="4356" width="15.28515625" bestFit="1" customWidth="1"/>
    <col min="4357" max="4357" width="25.28515625" bestFit="1" customWidth="1"/>
    <col min="4358" max="4358" width="15.85546875" bestFit="1" customWidth="1"/>
    <col min="4359" max="4359" width="6" bestFit="1" customWidth="1"/>
    <col min="4360" max="4360" width="10.7109375" bestFit="1" customWidth="1"/>
    <col min="4361" max="4361" width="29.28515625" bestFit="1" customWidth="1"/>
    <col min="4362" max="4362" width="18.7109375" bestFit="1" customWidth="1"/>
    <col min="4363" max="4363" width="20.42578125" bestFit="1" customWidth="1"/>
    <col min="4364" max="4364" width="7.85546875" bestFit="1" customWidth="1"/>
    <col min="4365" max="4365" width="10.7109375" bestFit="1" customWidth="1"/>
    <col min="4366" max="4366" width="42.42578125" bestFit="1" customWidth="1"/>
    <col min="4367" max="4367" width="8" bestFit="1" customWidth="1"/>
    <col min="4368" max="4368" width="81.140625" bestFit="1" customWidth="1"/>
    <col min="4610" max="4610" width="15.85546875" bestFit="1" customWidth="1"/>
    <col min="4611" max="4611" width="12.140625" bestFit="1" customWidth="1"/>
    <col min="4612" max="4612" width="15.28515625" bestFit="1" customWidth="1"/>
    <col min="4613" max="4613" width="25.28515625" bestFit="1" customWidth="1"/>
    <col min="4614" max="4614" width="15.85546875" bestFit="1" customWidth="1"/>
    <col min="4615" max="4615" width="6" bestFit="1" customWidth="1"/>
    <col min="4616" max="4616" width="10.7109375" bestFit="1" customWidth="1"/>
    <col min="4617" max="4617" width="29.28515625" bestFit="1" customWidth="1"/>
    <col min="4618" max="4618" width="18.7109375" bestFit="1" customWidth="1"/>
    <col min="4619" max="4619" width="20.42578125" bestFit="1" customWidth="1"/>
    <col min="4620" max="4620" width="7.85546875" bestFit="1" customWidth="1"/>
    <col min="4621" max="4621" width="10.7109375" bestFit="1" customWidth="1"/>
    <col min="4622" max="4622" width="42.42578125" bestFit="1" customWidth="1"/>
    <col min="4623" max="4623" width="8" bestFit="1" customWidth="1"/>
    <col min="4624" max="4624" width="81.140625" bestFit="1" customWidth="1"/>
    <col min="4866" max="4866" width="15.85546875" bestFit="1" customWidth="1"/>
    <col min="4867" max="4867" width="12.140625" bestFit="1" customWidth="1"/>
    <col min="4868" max="4868" width="15.28515625" bestFit="1" customWidth="1"/>
    <col min="4869" max="4869" width="25.28515625" bestFit="1" customWidth="1"/>
    <col min="4870" max="4870" width="15.85546875" bestFit="1" customWidth="1"/>
    <col min="4871" max="4871" width="6" bestFit="1" customWidth="1"/>
    <col min="4872" max="4872" width="10.7109375" bestFit="1" customWidth="1"/>
    <col min="4873" max="4873" width="29.28515625" bestFit="1" customWidth="1"/>
    <col min="4874" max="4874" width="18.7109375" bestFit="1" customWidth="1"/>
    <col min="4875" max="4875" width="20.42578125" bestFit="1" customWidth="1"/>
    <col min="4876" max="4876" width="7.85546875" bestFit="1" customWidth="1"/>
    <col min="4877" max="4877" width="10.7109375" bestFit="1" customWidth="1"/>
    <col min="4878" max="4878" width="42.42578125" bestFit="1" customWidth="1"/>
    <col min="4879" max="4879" width="8" bestFit="1" customWidth="1"/>
    <col min="4880" max="4880" width="81.140625" bestFit="1" customWidth="1"/>
    <col min="5122" max="5122" width="15.85546875" bestFit="1" customWidth="1"/>
    <col min="5123" max="5123" width="12.140625" bestFit="1" customWidth="1"/>
    <col min="5124" max="5124" width="15.28515625" bestFit="1" customWidth="1"/>
    <col min="5125" max="5125" width="25.28515625" bestFit="1" customWidth="1"/>
    <col min="5126" max="5126" width="15.85546875" bestFit="1" customWidth="1"/>
    <col min="5127" max="5127" width="6" bestFit="1" customWidth="1"/>
    <col min="5128" max="5128" width="10.7109375" bestFit="1" customWidth="1"/>
    <col min="5129" max="5129" width="29.28515625" bestFit="1" customWidth="1"/>
    <col min="5130" max="5130" width="18.7109375" bestFit="1" customWidth="1"/>
    <col min="5131" max="5131" width="20.42578125" bestFit="1" customWidth="1"/>
    <col min="5132" max="5132" width="7.85546875" bestFit="1" customWidth="1"/>
    <col min="5133" max="5133" width="10.7109375" bestFit="1" customWidth="1"/>
    <col min="5134" max="5134" width="42.42578125" bestFit="1" customWidth="1"/>
    <col min="5135" max="5135" width="8" bestFit="1" customWidth="1"/>
    <col min="5136" max="5136" width="81.140625" bestFit="1" customWidth="1"/>
    <col min="5378" max="5378" width="15.85546875" bestFit="1" customWidth="1"/>
    <col min="5379" max="5379" width="12.140625" bestFit="1" customWidth="1"/>
    <col min="5380" max="5380" width="15.28515625" bestFit="1" customWidth="1"/>
    <col min="5381" max="5381" width="25.28515625" bestFit="1" customWidth="1"/>
    <col min="5382" max="5382" width="15.85546875" bestFit="1" customWidth="1"/>
    <col min="5383" max="5383" width="6" bestFit="1" customWidth="1"/>
    <col min="5384" max="5384" width="10.7109375" bestFit="1" customWidth="1"/>
    <col min="5385" max="5385" width="29.28515625" bestFit="1" customWidth="1"/>
    <col min="5386" max="5386" width="18.7109375" bestFit="1" customWidth="1"/>
    <col min="5387" max="5387" width="20.42578125" bestFit="1" customWidth="1"/>
    <col min="5388" max="5388" width="7.85546875" bestFit="1" customWidth="1"/>
    <col min="5389" max="5389" width="10.7109375" bestFit="1" customWidth="1"/>
    <col min="5390" max="5390" width="42.42578125" bestFit="1" customWidth="1"/>
    <col min="5391" max="5391" width="8" bestFit="1" customWidth="1"/>
    <col min="5392" max="5392" width="81.140625" bestFit="1" customWidth="1"/>
    <col min="5634" max="5634" width="15.85546875" bestFit="1" customWidth="1"/>
    <col min="5635" max="5635" width="12.140625" bestFit="1" customWidth="1"/>
    <col min="5636" max="5636" width="15.28515625" bestFit="1" customWidth="1"/>
    <col min="5637" max="5637" width="25.28515625" bestFit="1" customWidth="1"/>
    <col min="5638" max="5638" width="15.85546875" bestFit="1" customWidth="1"/>
    <col min="5639" max="5639" width="6" bestFit="1" customWidth="1"/>
    <col min="5640" max="5640" width="10.7109375" bestFit="1" customWidth="1"/>
    <col min="5641" max="5641" width="29.28515625" bestFit="1" customWidth="1"/>
    <col min="5642" max="5642" width="18.7109375" bestFit="1" customWidth="1"/>
    <col min="5643" max="5643" width="20.42578125" bestFit="1" customWidth="1"/>
    <col min="5644" max="5644" width="7.85546875" bestFit="1" customWidth="1"/>
    <col min="5645" max="5645" width="10.7109375" bestFit="1" customWidth="1"/>
    <col min="5646" max="5646" width="42.42578125" bestFit="1" customWidth="1"/>
    <col min="5647" max="5647" width="8" bestFit="1" customWidth="1"/>
    <col min="5648" max="5648" width="81.140625" bestFit="1" customWidth="1"/>
    <col min="5890" max="5890" width="15.85546875" bestFit="1" customWidth="1"/>
    <col min="5891" max="5891" width="12.140625" bestFit="1" customWidth="1"/>
    <col min="5892" max="5892" width="15.28515625" bestFit="1" customWidth="1"/>
    <col min="5893" max="5893" width="25.28515625" bestFit="1" customWidth="1"/>
    <col min="5894" max="5894" width="15.85546875" bestFit="1" customWidth="1"/>
    <col min="5895" max="5895" width="6" bestFit="1" customWidth="1"/>
    <col min="5896" max="5896" width="10.7109375" bestFit="1" customWidth="1"/>
    <col min="5897" max="5897" width="29.28515625" bestFit="1" customWidth="1"/>
    <col min="5898" max="5898" width="18.7109375" bestFit="1" customWidth="1"/>
    <col min="5899" max="5899" width="20.42578125" bestFit="1" customWidth="1"/>
    <col min="5900" max="5900" width="7.85546875" bestFit="1" customWidth="1"/>
    <col min="5901" max="5901" width="10.7109375" bestFit="1" customWidth="1"/>
    <col min="5902" max="5902" width="42.42578125" bestFit="1" customWidth="1"/>
    <col min="5903" max="5903" width="8" bestFit="1" customWidth="1"/>
    <col min="5904" max="5904" width="81.140625" bestFit="1" customWidth="1"/>
    <col min="6146" max="6146" width="15.85546875" bestFit="1" customWidth="1"/>
    <col min="6147" max="6147" width="12.140625" bestFit="1" customWidth="1"/>
    <col min="6148" max="6148" width="15.28515625" bestFit="1" customWidth="1"/>
    <col min="6149" max="6149" width="25.28515625" bestFit="1" customWidth="1"/>
    <col min="6150" max="6150" width="15.85546875" bestFit="1" customWidth="1"/>
    <col min="6151" max="6151" width="6" bestFit="1" customWidth="1"/>
    <col min="6152" max="6152" width="10.7109375" bestFit="1" customWidth="1"/>
    <col min="6153" max="6153" width="29.28515625" bestFit="1" customWidth="1"/>
    <col min="6154" max="6154" width="18.7109375" bestFit="1" customWidth="1"/>
    <col min="6155" max="6155" width="20.42578125" bestFit="1" customWidth="1"/>
    <col min="6156" max="6156" width="7.85546875" bestFit="1" customWidth="1"/>
    <col min="6157" max="6157" width="10.7109375" bestFit="1" customWidth="1"/>
    <col min="6158" max="6158" width="42.42578125" bestFit="1" customWidth="1"/>
    <col min="6159" max="6159" width="8" bestFit="1" customWidth="1"/>
    <col min="6160" max="6160" width="81.140625" bestFit="1" customWidth="1"/>
    <col min="6402" max="6402" width="15.85546875" bestFit="1" customWidth="1"/>
    <col min="6403" max="6403" width="12.140625" bestFit="1" customWidth="1"/>
    <col min="6404" max="6404" width="15.28515625" bestFit="1" customWidth="1"/>
    <col min="6405" max="6405" width="25.28515625" bestFit="1" customWidth="1"/>
    <col min="6406" max="6406" width="15.85546875" bestFit="1" customWidth="1"/>
    <col min="6407" max="6407" width="6" bestFit="1" customWidth="1"/>
    <col min="6408" max="6408" width="10.7109375" bestFit="1" customWidth="1"/>
    <col min="6409" max="6409" width="29.28515625" bestFit="1" customWidth="1"/>
    <col min="6410" max="6410" width="18.7109375" bestFit="1" customWidth="1"/>
    <col min="6411" max="6411" width="20.42578125" bestFit="1" customWidth="1"/>
    <col min="6412" max="6412" width="7.85546875" bestFit="1" customWidth="1"/>
    <col min="6413" max="6413" width="10.7109375" bestFit="1" customWidth="1"/>
    <col min="6414" max="6414" width="42.42578125" bestFit="1" customWidth="1"/>
    <col min="6415" max="6415" width="8" bestFit="1" customWidth="1"/>
    <col min="6416" max="6416" width="81.140625" bestFit="1" customWidth="1"/>
    <col min="6658" max="6658" width="15.85546875" bestFit="1" customWidth="1"/>
    <col min="6659" max="6659" width="12.140625" bestFit="1" customWidth="1"/>
    <col min="6660" max="6660" width="15.28515625" bestFit="1" customWidth="1"/>
    <col min="6661" max="6661" width="25.28515625" bestFit="1" customWidth="1"/>
    <col min="6662" max="6662" width="15.85546875" bestFit="1" customWidth="1"/>
    <col min="6663" max="6663" width="6" bestFit="1" customWidth="1"/>
    <col min="6664" max="6664" width="10.7109375" bestFit="1" customWidth="1"/>
    <col min="6665" max="6665" width="29.28515625" bestFit="1" customWidth="1"/>
    <col min="6666" max="6666" width="18.7109375" bestFit="1" customWidth="1"/>
    <col min="6667" max="6667" width="20.42578125" bestFit="1" customWidth="1"/>
    <col min="6668" max="6668" width="7.85546875" bestFit="1" customWidth="1"/>
    <col min="6669" max="6669" width="10.7109375" bestFit="1" customWidth="1"/>
    <col min="6670" max="6670" width="42.42578125" bestFit="1" customWidth="1"/>
    <col min="6671" max="6671" width="8" bestFit="1" customWidth="1"/>
    <col min="6672" max="6672" width="81.140625" bestFit="1" customWidth="1"/>
    <col min="6914" max="6914" width="15.85546875" bestFit="1" customWidth="1"/>
    <col min="6915" max="6915" width="12.140625" bestFit="1" customWidth="1"/>
    <col min="6916" max="6916" width="15.28515625" bestFit="1" customWidth="1"/>
    <col min="6917" max="6917" width="25.28515625" bestFit="1" customWidth="1"/>
    <col min="6918" max="6918" width="15.85546875" bestFit="1" customWidth="1"/>
    <col min="6919" max="6919" width="6" bestFit="1" customWidth="1"/>
    <col min="6920" max="6920" width="10.7109375" bestFit="1" customWidth="1"/>
    <col min="6921" max="6921" width="29.28515625" bestFit="1" customWidth="1"/>
    <col min="6922" max="6922" width="18.7109375" bestFit="1" customWidth="1"/>
    <col min="6923" max="6923" width="20.42578125" bestFit="1" customWidth="1"/>
    <col min="6924" max="6924" width="7.85546875" bestFit="1" customWidth="1"/>
    <col min="6925" max="6925" width="10.7109375" bestFit="1" customWidth="1"/>
    <col min="6926" max="6926" width="42.42578125" bestFit="1" customWidth="1"/>
    <col min="6927" max="6927" width="8" bestFit="1" customWidth="1"/>
    <col min="6928" max="6928" width="81.140625" bestFit="1" customWidth="1"/>
    <col min="7170" max="7170" width="15.85546875" bestFit="1" customWidth="1"/>
    <col min="7171" max="7171" width="12.140625" bestFit="1" customWidth="1"/>
    <col min="7172" max="7172" width="15.28515625" bestFit="1" customWidth="1"/>
    <col min="7173" max="7173" width="25.28515625" bestFit="1" customWidth="1"/>
    <col min="7174" max="7174" width="15.85546875" bestFit="1" customWidth="1"/>
    <col min="7175" max="7175" width="6" bestFit="1" customWidth="1"/>
    <col min="7176" max="7176" width="10.7109375" bestFit="1" customWidth="1"/>
    <col min="7177" max="7177" width="29.28515625" bestFit="1" customWidth="1"/>
    <col min="7178" max="7178" width="18.7109375" bestFit="1" customWidth="1"/>
    <col min="7179" max="7179" width="20.42578125" bestFit="1" customWidth="1"/>
    <col min="7180" max="7180" width="7.85546875" bestFit="1" customWidth="1"/>
    <col min="7181" max="7181" width="10.7109375" bestFit="1" customWidth="1"/>
    <col min="7182" max="7182" width="42.42578125" bestFit="1" customWidth="1"/>
    <col min="7183" max="7183" width="8" bestFit="1" customWidth="1"/>
    <col min="7184" max="7184" width="81.140625" bestFit="1" customWidth="1"/>
    <col min="7426" max="7426" width="15.85546875" bestFit="1" customWidth="1"/>
    <col min="7427" max="7427" width="12.140625" bestFit="1" customWidth="1"/>
    <col min="7428" max="7428" width="15.28515625" bestFit="1" customWidth="1"/>
    <col min="7429" max="7429" width="25.28515625" bestFit="1" customWidth="1"/>
    <col min="7430" max="7430" width="15.85546875" bestFit="1" customWidth="1"/>
    <col min="7431" max="7431" width="6" bestFit="1" customWidth="1"/>
    <col min="7432" max="7432" width="10.7109375" bestFit="1" customWidth="1"/>
    <col min="7433" max="7433" width="29.28515625" bestFit="1" customWidth="1"/>
    <col min="7434" max="7434" width="18.7109375" bestFit="1" customWidth="1"/>
    <col min="7435" max="7435" width="20.42578125" bestFit="1" customWidth="1"/>
    <col min="7436" max="7436" width="7.85546875" bestFit="1" customWidth="1"/>
    <col min="7437" max="7437" width="10.7109375" bestFit="1" customWidth="1"/>
    <col min="7438" max="7438" width="42.42578125" bestFit="1" customWidth="1"/>
    <col min="7439" max="7439" width="8" bestFit="1" customWidth="1"/>
    <col min="7440" max="7440" width="81.140625" bestFit="1" customWidth="1"/>
    <col min="7682" max="7682" width="15.85546875" bestFit="1" customWidth="1"/>
    <col min="7683" max="7683" width="12.140625" bestFit="1" customWidth="1"/>
    <col min="7684" max="7684" width="15.28515625" bestFit="1" customWidth="1"/>
    <col min="7685" max="7685" width="25.28515625" bestFit="1" customWidth="1"/>
    <col min="7686" max="7686" width="15.85546875" bestFit="1" customWidth="1"/>
    <col min="7687" max="7687" width="6" bestFit="1" customWidth="1"/>
    <col min="7688" max="7688" width="10.7109375" bestFit="1" customWidth="1"/>
    <col min="7689" max="7689" width="29.28515625" bestFit="1" customWidth="1"/>
    <col min="7690" max="7690" width="18.7109375" bestFit="1" customWidth="1"/>
    <col min="7691" max="7691" width="20.42578125" bestFit="1" customWidth="1"/>
    <col min="7692" max="7692" width="7.85546875" bestFit="1" customWidth="1"/>
    <col min="7693" max="7693" width="10.7109375" bestFit="1" customWidth="1"/>
    <col min="7694" max="7694" width="42.42578125" bestFit="1" customWidth="1"/>
    <col min="7695" max="7695" width="8" bestFit="1" customWidth="1"/>
    <col min="7696" max="7696" width="81.140625" bestFit="1" customWidth="1"/>
    <col min="7938" max="7938" width="15.85546875" bestFit="1" customWidth="1"/>
    <col min="7939" max="7939" width="12.140625" bestFit="1" customWidth="1"/>
    <col min="7940" max="7940" width="15.28515625" bestFit="1" customWidth="1"/>
    <col min="7941" max="7941" width="25.28515625" bestFit="1" customWidth="1"/>
    <col min="7942" max="7942" width="15.85546875" bestFit="1" customWidth="1"/>
    <col min="7943" max="7943" width="6" bestFit="1" customWidth="1"/>
    <col min="7944" max="7944" width="10.7109375" bestFit="1" customWidth="1"/>
    <col min="7945" max="7945" width="29.28515625" bestFit="1" customWidth="1"/>
    <col min="7946" max="7946" width="18.7109375" bestFit="1" customWidth="1"/>
    <col min="7947" max="7947" width="20.42578125" bestFit="1" customWidth="1"/>
    <col min="7948" max="7948" width="7.85546875" bestFit="1" customWidth="1"/>
    <col min="7949" max="7949" width="10.7109375" bestFit="1" customWidth="1"/>
    <col min="7950" max="7950" width="42.42578125" bestFit="1" customWidth="1"/>
    <col min="7951" max="7951" width="8" bestFit="1" customWidth="1"/>
    <col min="7952" max="7952" width="81.140625" bestFit="1" customWidth="1"/>
    <col min="8194" max="8194" width="15.85546875" bestFit="1" customWidth="1"/>
    <col min="8195" max="8195" width="12.140625" bestFit="1" customWidth="1"/>
    <col min="8196" max="8196" width="15.28515625" bestFit="1" customWidth="1"/>
    <col min="8197" max="8197" width="25.28515625" bestFit="1" customWidth="1"/>
    <col min="8198" max="8198" width="15.85546875" bestFit="1" customWidth="1"/>
    <col min="8199" max="8199" width="6" bestFit="1" customWidth="1"/>
    <col min="8200" max="8200" width="10.7109375" bestFit="1" customWidth="1"/>
    <col min="8201" max="8201" width="29.28515625" bestFit="1" customWidth="1"/>
    <col min="8202" max="8202" width="18.7109375" bestFit="1" customWidth="1"/>
    <col min="8203" max="8203" width="20.42578125" bestFit="1" customWidth="1"/>
    <col min="8204" max="8204" width="7.85546875" bestFit="1" customWidth="1"/>
    <col min="8205" max="8205" width="10.7109375" bestFit="1" customWidth="1"/>
    <col min="8206" max="8206" width="42.42578125" bestFit="1" customWidth="1"/>
    <col min="8207" max="8207" width="8" bestFit="1" customWidth="1"/>
    <col min="8208" max="8208" width="81.140625" bestFit="1" customWidth="1"/>
    <col min="8450" max="8450" width="15.85546875" bestFit="1" customWidth="1"/>
    <col min="8451" max="8451" width="12.140625" bestFit="1" customWidth="1"/>
    <col min="8452" max="8452" width="15.28515625" bestFit="1" customWidth="1"/>
    <col min="8453" max="8453" width="25.28515625" bestFit="1" customWidth="1"/>
    <col min="8454" max="8454" width="15.85546875" bestFit="1" customWidth="1"/>
    <col min="8455" max="8455" width="6" bestFit="1" customWidth="1"/>
    <col min="8456" max="8456" width="10.7109375" bestFit="1" customWidth="1"/>
    <col min="8457" max="8457" width="29.28515625" bestFit="1" customWidth="1"/>
    <col min="8458" max="8458" width="18.7109375" bestFit="1" customWidth="1"/>
    <col min="8459" max="8459" width="20.42578125" bestFit="1" customWidth="1"/>
    <col min="8460" max="8460" width="7.85546875" bestFit="1" customWidth="1"/>
    <col min="8461" max="8461" width="10.7109375" bestFit="1" customWidth="1"/>
    <col min="8462" max="8462" width="42.42578125" bestFit="1" customWidth="1"/>
    <col min="8463" max="8463" width="8" bestFit="1" customWidth="1"/>
    <col min="8464" max="8464" width="81.140625" bestFit="1" customWidth="1"/>
    <col min="8706" max="8706" width="15.85546875" bestFit="1" customWidth="1"/>
    <col min="8707" max="8707" width="12.140625" bestFit="1" customWidth="1"/>
    <col min="8708" max="8708" width="15.28515625" bestFit="1" customWidth="1"/>
    <col min="8709" max="8709" width="25.28515625" bestFit="1" customWidth="1"/>
    <col min="8710" max="8710" width="15.85546875" bestFit="1" customWidth="1"/>
    <col min="8711" max="8711" width="6" bestFit="1" customWidth="1"/>
    <col min="8712" max="8712" width="10.7109375" bestFit="1" customWidth="1"/>
    <col min="8713" max="8713" width="29.28515625" bestFit="1" customWidth="1"/>
    <col min="8714" max="8714" width="18.7109375" bestFit="1" customWidth="1"/>
    <col min="8715" max="8715" width="20.42578125" bestFit="1" customWidth="1"/>
    <col min="8716" max="8716" width="7.85546875" bestFit="1" customWidth="1"/>
    <col min="8717" max="8717" width="10.7109375" bestFit="1" customWidth="1"/>
    <col min="8718" max="8718" width="42.42578125" bestFit="1" customWidth="1"/>
    <col min="8719" max="8719" width="8" bestFit="1" customWidth="1"/>
    <col min="8720" max="8720" width="81.140625" bestFit="1" customWidth="1"/>
    <col min="8962" max="8962" width="15.85546875" bestFit="1" customWidth="1"/>
    <col min="8963" max="8963" width="12.140625" bestFit="1" customWidth="1"/>
    <col min="8964" max="8964" width="15.28515625" bestFit="1" customWidth="1"/>
    <col min="8965" max="8965" width="25.28515625" bestFit="1" customWidth="1"/>
    <col min="8966" max="8966" width="15.85546875" bestFit="1" customWidth="1"/>
    <col min="8967" max="8967" width="6" bestFit="1" customWidth="1"/>
    <col min="8968" max="8968" width="10.7109375" bestFit="1" customWidth="1"/>
    <col min="8969" max="8969" width="29.28515625" bestFit="1" customWidth="1"/>
    <col min="8970" max="8970" width="18.7109375" bestFit="1" customWidth="1"/>
    <col min="8971" max="8971" width="20.42578125" bestFit="1" customWidth="1"/>
    <col min="8972" max="8972" width="7.85546875" bestFit="1" customWidth="1"/>
    <col min="8973" max="8973" width="10.7109375" bestFit="1" customWidth="1"/>
    <col min="8974" max="8974" width="42.42578125" bestFit="1" customWidth="1"/>
    <col min="8975" max="8975" width="8" bestFit="1" customWidth="1"/>
    <col min="8976" max="8976" width="81.140625" bestFit="1" customWidth="1"/>
    <col min="9218" max="9218" width="15.85546875" bestFit="1" customWidth="1"/>
    <col min="9219" max="9219" width="12.140625" bestFit="1" customWidth="1"/>
    <col min="9220" max="9220" width="15.28515625" bestFit="1" customWidth="1"/>
    <col min="9221" max="9221" width="25.28515625" bestFit="1" customWidth="1"/>
    <col min="9222" max="9222" width="15.85546875" bestFit="1" customWidth="1"/>
    <col min="9223" max="9223" width="6" bestFit="1" customWidth="1"/>
    <col min="9224" max="9224" width="10.7109375" bestFit="1" customWidth="1"/>
    <col min="9225" max="9225" width="29.28515625" bestFit="1" customWidth="1"/>
    <col min="9226" max="9226" width="18.7109375" bestFit="1" customWidth="1"/>
    <col min="9227" max="9227" width="20.42578125" bestFit="1" customWidth="1"/>
    <col min="9228" max="9228" width="7.85546875" bestFit="1" customWidth="1"/>
    <col min="9229" max="9229" width="10.7109375" bestFit="1" customWidth="1"/>
    <col min="9230" max="9230" width="42.42578125" bestFit="1" customWidth="1"/>
    <col min="9231" max="9231" width="8" bestFit="1" customWidth="1"/>
    <col min="9232" max="9232" width="81.140625" bestFit="1" customWidth="1"/>
    <col min="9474" max="9474" width="15.85546875" bestFit="1" customWidth="1"/>
    <col min="9475" max="9475" width="12.140625" bestFit="1" customWidth="1"/>
    <col min="9476" max="9476" width="15.28515625" bestFit="1" customWidth="1"/>
    <col min="9477" max="9477" width="25.28515625" bestFit="1" customWidth="1"/>
    <col min="9478" max="9478" width="15.85546875" bestFit="1" customWidth="1"/>
    <col min="9479" max="9479" width="6" bestFit="1" customWidth="1"/>
    <col min="9480" max="9480" width="10.7109375" bestFit="1" customWidth="1"/>
    <col min="9481" max="9481" width="29.28515625" bestFit="1" customWidth="1"/>
    <col min="9482" max="9482" width="18.7109375" bestFit="1" customWidth="1"/>
    <col min="9483" max="9483" width="20.42578125" bestFit="1" customWidth="1"/>
    <col min="9484" max="9484" width="7.85546875" bestFit="1" customWidth="1"/>
    <col min="9485" max="9485" width="10.7109375" bestFit="1" customWidth="1"/>
    <col min="9486" max="9486" width="42.42578125" bestFit="1" customWidth="1"/>
    <col min="9487" max="9487" width="8" bestFit="1" customWidth="1"/>
    <col min="9488" max="9488" width="81.140625" bestFit="1" customWidth="1"/>
    <col min="9730" max="9730" width="15.85546875" bestFit="1" customWidth="1"/>
    <col min="9731" max="9731" width="12.140625" bestFit="1" customWidth="1"/>
    <col min="9732" max="9732" width="15.28515625" bestFit="1" customWidth="1"/>
    <col min="9733" max="9733" width="25.28515625" bestFit="1" customWidth="1"/>
    <col min="9734" max="9734" width="15.85546875" bestFit="1" customWidth="1"/>
    <col min="9735" max="9735" width="6" bestFit="1" customWidth="1"/>
    <col min="9736" max="9736" width="10.7109375" bestFit="1" customWidth="1"/>
    <col min="9737" max="9737" width="29.28515625" bestFit="1" customWidth="1"/>
    <col min="9738" max="9738" width="18.7109375" bestFit="1" customWidth="1"/>
    <col min="9739" max="9739" width="20.42578125" bestFit="1" customWidth="1"/>
    <col min="9740" max="9740" width="7.85546875" bestFit="1" customWidth="1"/>
    <col min="9741" max="9741" width="10.7109375" bestFit="1" customWidth="1"/>
    <col min="9742" max="9742" width="42.42578125" bestFit="1" customWidth="1"/>
    <col min="9743" max="9743" width="8" bestFit="1" customWidth="1"/>
    <col min="9744" max="9744" width="81.140625" bestFit="1" customWidth="1"/>
    <col min="9986" max="9986" width="15.85546875" bestFit="1" customWidth="1"/>
    <col min="9987" max="9987" width="12.140625" bestFit="1" customWidth="1"/>
    <col min="9988" max="9988" width="15.28515625" bestFit="1" customWidth="1"/>
    <col min="9989" max="9989" width="25.28515625" bestFit="1" customWidth="1"/>
    <col min="9990" max="9990" width="15.85546875" bestFit="1" customWidth="1"/>
    <col min="9991" max="9991" width="6" bestFit="1" customWidth="1"/>
    <col min="9992" max="9992" width="10.7109375" bestFit="1" customWidth="1"/>
    <col min="9993" max="9993" width="29.28515625" bestFit="1" customWidth="1"/>
    <col min="9994" max="9994" width="18.7109375" bestFit="1" customWidth="1"/>
    <col min="9995" max="9995" width="20.42578125" bestFit="1" customWidth="1"/>
    <col min="9996" max="9996" width="7.85546875" bestFit="1" customWidth="1"/>
    <col min="9997" max="9997" width="10.7109375" bestFit="1" customWidth="1"/>
    <col min="9998" max="9998" width="42.42578125" bestFit="1" customWidth="1"/>
    <col min="9999" max="9999" width="8" bestFit="1" customWidth="1"/>
    <col min="10000" max="10000" width="81.140625" bestFit="1" customWidth="1"/>
    <col min="10242" max="10242" width="15.85546875" bestFit="1" customWidth="1"/>
    <col min="10243" max="10243" width="12.140625" bestFit="1" customWidth="1"/>
    <col min="10244" max="10244" width="15.28515625" bestFit="1" customWidth="1"/>
    <col min="10245" max="10245" width="25.28515625" bestFit="1" customWidth="1"/>
    <col min="10246" max="10246" width="15.85546875" bestFit="1" customWidth="1"/>
    <col min="10247" max="10247" width="6" bestFit="1" customWidth="1"/>
    <col min="10248" max="10248" width="10.7109375" bestFit="1" customWidth="1"/>
    <col min="10249" max="10249" width="29.28515625" bestFit="1" customWidth="1"/>
    <col min="10250" max="10250" width="18.7109375" bestFit="1" customWidth="1"/>
    <col min="10251" max="10251" width="20.42578125" bestFit="1" customWidth="1"/>
    <col min="10252" max="10252" width="7.85546875" bestFit="1" customWidth="1"/>
    <col min="10253" max="10253" width="10.7109375" bestFit="1" customWidth="1"/>
    <col min="10254" max="10254" width="42.42578125" bestFit="1" customWidth="1"/>
    <col min="10255" max="10255" width="8" bestFit="1" customWidth="1"/>
    <col min="10256" max="10256" width="81.140625" bestFit="1" customWidth="1"/>
    <col min="10498" max="10498" width="15.85546875" bestFit="1" customWidth="1"/>
    <col min="10499" max="10499" width="12.140625" bestFit="1" customWidth="1"/>
    <col min="10500" max="10500" width="15.28515625" bestFit="1" customWidth="1"/>
    <col min="10501" max="10501" width="25.28515625" bestFit="1" customWidth="1"/>
    <col min="10502" max="10502" width="15.85546875" bestFit="1" customWidth="1"/>
    <col min="10503" max="10503" width="6" bestFit="1" customWidth="1"/>
    <col min="10504" max="10504" width="10.7109375" bestFit="1" customWidth="1"/>
    <col min="10505" max="10505" width="29.28515625" bestFit="1" customWidth="1"/>
    <col min="10506" max="10506" width="18.7109375" bestFit="1" customWidth="1"/>
    <col min="10507" max="10507" width="20.42578125" bestFit="1" customWidth="1"/>
    <col min="10508" max="10508" width="7.85546875" bestFit="1" customWidth="1"/>
    <col min="10509" max="10509" width="10.7109375" bestFit="1" customWidth="1"/>
    <col min="10510" max="10510" width="42.42578125" bestFit="1" customWidth="1"/>
    <col min="10511" max="10511" width="8" bestFit="1" customWidth="1"/>
    <col min="10512" max="10512" width="81.140625" bestFit="1" customWidth="1"/>
    <col min="10754" max="10754" width="15.85546875" bestFit="1" customWidth="1"/>
    <col min="10755" max="10755" width="12.140625" bestFit="1" customWidth="1"/>
    <col min="10756" max="10756" width="15.28515625" bestFit="1" customWidth="1"/>
    <col min="10757" max="10757" width="25.28515625" bestFit="1" customWidth="1"/>
    <col min="10758" max="10758" width="15.85546875" bestFit="1" customWidth="1"/>
    <col min="10759" max="10759" width="6" bestFit="1" customWidth="1"/>
    <col min="10760" max="10760" width="10.7109375" bestFit="1" customWidth="1"/>
    <col min="10761" max="10761" width="29.28515625" bestFit="1" customWidth="1"/>
    <col min="10762" max="10762" width="18.7109375" bestFit="1" customWidth="1"/>
    <col min="10763" max="10763" width="20.42578125" bestFit="1" customWidth="1"/>
    <col min="10764" max="10764" width="7.85546875" bestFit="1" customWidth="1"/>
    <col min="10765" max="10765" width="10.7109375" bestFit="1" customWidth="1"/>
    <col min="10766" max="10766" width="42.42578125" bestFit="1" customWidth="1"/>
    <col min="10767" max="10767" width="8" bestFit="1" customWidth="1"/>
    <col min="10768" max="10768" width="81.140625" bestFit="1" customWidth="1"/>
    <col min="11010" max="11010" width="15.85546875" bestFit="1" customWidth="1"/>
    <col min="11011" max="11011" width="12.140625" bestFit="1" customWidth="1"/>
    <col min="11012" max="11012" width="15.28515625" bestFit="1" customWidth="1"/>
    <col min="11013" max="11013" width="25.28515625" bestFit="1" customWidth="1"/>
    <col min="11014" max="11014" width="15.85546875" bestFit="1" customWidth="1"/>
    <col min="11015" max="11015" width="6" bestFit="1" customWidth="1"/>
    <col min="11016" max="11016" width="10.7109375" bestFit="1" customWidth="1"/>
    <col min="11017" max="11017" width="29.28515625" bestFit="1" customWidth="1"/>
    <col min="11018" max="11018" width="18.7109375" bestFit="1" customWidth="1"/>
    <col min="11019" max="11019" width="20.42578125" bestFit="1" customWidth="1"/>
    <col min="11020" max="11020" width="7.85546875" bestFit="1" customWidth="1"/>
    <col min="11021" max="11021" width="10.7109375" bestFit="1" customWidth="1"/>
    <col min="11022" max="11022" width="42.42578125" bestFit="1" customWidth="1"/>
    <col min="11023" max="11023" width="8" bestFit="1" customWidth="1"/>
    <col min="11024" max="11024" width="81.140625" bestFit="1" customWidth="1"/>
    <col min="11266" max="11266" width="15.85546875" bestFit="1" customWidth="1"/>
    <col min="11267" max="11267" width="12.140625" bestFit="1" customWidth="1"/>
    <col min="11268" max="11268" width="15.28515625" bestFit="1" customWidth="1"/>
    <col min="11269" max="11269" width="25.28515625" bestFit="1" customWidth="1"/>
    <col min="11270" max="11270" width="15.85546875" bestFit="1" customWidth="1"/>
    <col min="11271" max="11271" width="6" bestFit="1" customWidth="1"/>
    <col min="11272" max="11272" width="10.7109375" bestFit="1" customWidth="1"/>
    <col min="11273" max="11273" width="29.28515625" bestFit="1" customWidth="1"/>
    <col min="11274" max="11274" width="18.7109375" bestFit="1" customWidth="1"/>
    <col min="11275" max="11275" width="20.42578125" bestFit="1" customWidth="1"/>
    <col min="11276" max="11276" width="7.85546875" bestFit="1" customWidth="1"/>
    <col min="11277" max="11277" width="10.7109375" bestFit="1" customWidth="1"/>
    <col min="11278" max="11278" width="42.42578125" bestFit="1" customWidth="1"/>
    <col min="11279" max="11279" width="8" bestFit="1" customWidth="1"/>
    <col min="11280" max="11280" width="81.140625" bestFit="1" customWidth="1"/>
    <col min="11522" max="11522" width="15.85546875" bestFit="1" customWidth="1"/>
    <col min="11523" max="11523" width="12.140625" bestFit="1" customWidth="1"/>
    <col min="11524" max="11524" width="15.28515625" bestFit="1" customWidth="1"/>
    <col min="11525" max="11525" width="25.28515625" bestFit="1" customWidth="1"/>
    <col min="11526" max="11526" width="15.85546875" bestFit="1" customWidth="1"/>
    <col min="11527" max="11527" width="6" bestFit="1" customWidth="1"/>
    <col min="11528" max="11528" width="10.7109375" bestFit="1" customWidth="1"/>
    <col min="11529" max="11529" width="29.28515625" bestFit="1" customWidth="1"/>
    <col min="11530" max="11530" width="18.7109375" bestFit="1" customWidth="1"/>
    <col min="11531" max="11531" width="20.42578125" bestFit="1" customWidth="1"/>
    <col min="11532" max="11532" width="7.85546875" bestFit="1" customWidth="1"/>
    <col min="11533" max="11533" width="10.7109375" bestFit="1" customWidth="1"/>
    <col min="11534" max="11534" width="42.42578125" bestFit="1" customWidth="1"/>
    <col min="11535" max="11535" width="8" bestFit="1" customWidth="1"/>
    <col min="11536" max="11536" width="81.140625" bestFit="1" customWidth="1"/>
    <col min="11778" max="11778" width="15.85546875" bestFit="1" customWidth="1"/>
    <col min="11779" max="11779" width="12.140625" bestFit="1" customWidth="1"/>
    <col min="11780" max="11780" width="15.28515625" bestFit="1" customWidth="1"/>
    <col min="11781" max="11781" width="25.28515625" bestFit="1" customWidth="1"/>
    <col min="11782" max="11782" width="15.85546875" bestFit="1" customWidth="1"/>
    <col min="11783" max="11783" width="6" bestFit="1" customWidth="1"/>
    <col min="11784" max="11784" width="10.7109375" bestFit="1" customWidth="1"/>
    <col min="11785" max="11785" width="29.28515625" bestFit="1" customWidth="1"/>
    <col min="11786" max="11786" width="18.7109375" bestFit="1" customWidth="1"/>
    <col min="11787" max="11787" width="20.42578125" bestFit="1" customWidth="1"/>
    <col min="11788" max="11788" width="7.85546875" bestFit="1" customWidth="1"/>
    <col min="11789" max="11789" width="10.7109375" bestFit="1" customWidth="1"/>
    <col min="11790" max="11790" width="42.42578125" bestFit="1" customWidth="1"/>
    <col min="11791" max="11791" width="8" bestFit="1" customWidth="1"/>
    <col min="11792" max="11792" width="81.140625" bestFit="1" customWidth="1"/>
    <col min="12034" max="12034" width="15.85546875" bestFit="1" customWidth="1"/>
    <col min="12035" max="12035" width="12.140625" bestFit="1" customWidth="1"/>
    <col min="12036" max="12036" width="15.28515625" bestFit="1" customWidth="1"/>
    <col min="12037" max="12037" width="25.28515625" bestFit="1" customWidth="1"/>
    <col min="12038" max="12038" width="15.85546875" bestFit="1" customWidth="1"/>
    <col min="12039" max="12039" width="6" bestFit="1" customWidth="1"/>
    <col min="12040" max="12040" width="10.7109375" bestFit="1" customWidth="1"/>
    <col min="12041" max="12041" width="29.28515625" bestFit="1" customWidth="1"/>
    <col min="12042" max="12042" width="18.7109375" bestFit="1" customWidth="1"/>
    <col min="12043" max="12043" width="20.42578125" bestFit="1" customWidth="1"/>
    <col min="12044" max="12044" width="7.85546875" bestFit="1" customWidth="1"/>
    <col min="12045" max="12045" width="10.7109375" bestFit="1" customWidth="1"/>
    <col min="12046" max="12046" width="42.42578125" bestFit="1" customWidth="1"/>
    <col min="12047" max="12047" width="8" bestFit="1" customWidth="1"/>
    <col min="12048" max="12048" width="81.140625" bestFit="1" customWidth="1"/>
    <col min="12290" max="12290" width="15.85546875" bestFit="1" customWidth="1"/>
    <col min="12291" max="12291" width="12.140625" bestFit="1" customWidth="1"/>
    <col min="12292" max="12292" width="15.28515625" bestFit="1" customWidth="1"/>
    <col min="12293" max="12293" width="25.28515625" bestFit="1" customWidth="1"/>
    <col min="12294" max="12294" width="15.85546875" bestFit="1" customWidth="1"/>
    <col min="12295" max="12295" width="6" bestFit="1" customWidth="1"/>
    <col min="12296" max="12296" width="10.7109375" bestFit="1" customWidth="1"/>
    <col min="12297" max="12297" width="29.28515625" bestFit="1" customWidth="1"/>
    <col min="12298" max="12298" width="18.7109375" bestFit="1" customWidth="1"/>
    <col min="12299" max="12299" width="20.42578125" bestFit="1" customWidth="1"/>
    <col min="12300" max="12300" width="7.85546875" bestFit="1" customWidth="1"/>
    <col min="12301" max="12301" width="10.7109375" bestFit="1" customWidth="1"/>
    <col min="12302" max="12302" width="42.42578125" bestFit="1" customWidth="1"/>
    <col min="12303" max="12303" width="8" bestFit="1" customWidth="1"/>
    <col min="12304" max="12304" width="81.140625" bestFit="1" customWidth="1"/>
    <col min="12546" max="12546" width="15.85546875" bestFit="1" customWidth="1"/>
    <col min="12547" max="12547" width="12.140625" bestFit="1" customWidth="1"/>
    <col min="12548" max="12548" width="15.28515625" bestFit="1" customWidth="1"/>
    <col min="12549" max="12549" width="25.28515625" bestFit="1" customWidth="1"/>
    <col min="12550" max="12550" width="15.85546875" bestFit="1" customWidth="1"/>
    <col min="12551" max="12551" width="6" bestFit="1" customWidth="1"/>
    <col min="12552" max="12552" width="10.7109375" bestFit="1" customWidth="1"/>
    <col min="12553" max="12553" width="29.28515625" bestFit="1" customWidth="1"/>
    <col min="12554" max="12554" width="18.7109375" bestFit="1" customWidth="1"/>
    <col min="12555" max="12555" width="20.42578125" bestFit="1" customWidth="1"/>
    <col min="12556" max="12556" width="7.85546875" bestFit="1" customWidth="1"/>
    <col min="12557" max="12557" width="10.7109375" bestFit="1" customWidth="1"/>
    <col min="12558" max="12558" width="42.42578125" bestFit="1" customWidth="1"/>
    <col min="12559" max="12559" width="8" bestFit="1" customWidth="1"/>
    <col min="12560" max="12560" width="81.140625" bestFit="1" customWidth="1"/>
    <col min="12802" max="12802" width="15.85546875" bestFit="1" customWidth="1"/>
    <col min="12803" max="12803" width="12.140625" bestFit="1" customWidth="1"/>
    <col min="12804" max="12804" width="15.28515625" bestFit="1" customWidth="1"/>
    <col min="12805" max="12805" width="25.28515625" bestFit="1" customWidth="1"/>
    <col min="12806" max="12806" width="15.85546875" bestFit="1" customWidth="1"/>
    <col min="12807" max="12807" width="6" bestFit="1" customWidth="1"/>
    <col min="12808" max="12808" width="10.7109375" bestFit="1" customWidth="1"/>
    <col min="12809" max="12809" width="29.28515625" bestFit="1" customWidth="1"/>
    <col min="12810" max="12810" width="18.7109375" bestFit="1" customWidth="1"/>
    <col min="12811" max="12811" width="20.42578125" bestFit="1" customWidth="1"/>
    <col min="12812" max="12812" width="7.85546875" bestFit="1" customWidth="1"/>
    <col min="12813" max="12813" width="10.7109375" bestFit="1" customWidth="1"/>
    <col min="12814" max="12814" width="42.42578125" bestFit="1" customWidth="1"/>
    <col min="12815" max="12815" width="8" bestFit="1" customWidth="1"/>
    <col min="12816" max="12816" width="81.140625" bestFit="1" customWidth="1"/>
    <col min="13058" max="13058" width="15.85546875" bestFit="1" customWidth="1"/>
    <col min="13059" max="13059" width="12.140625" bestFit="1" customWidth="1"/>
    <col min="13060" max="13060" width="15.28515625" bestFit="1" customWidth="1"/>
    <col min="13061" max="13061" width="25.28515625" bestFit="1" customWidth="1"/>
    <col min="13062" max="13062" width="15.85546875" bestFit="1" customWidth="1"/>
    <col min="13063" max="13063" width="6" bestFit="1" customWidth="1"/>
    <col min="13064" max="13064" width="10.7109375" bestFit="1" customWidth="1"/>
    <col min="13065" max="13065" width="29.28515625" bestFit="1" customWidth="1"/>
    <col min="13066" max="13066" width="18.7109375" bestFit="1" customWidth="1"/>
    <col min="13067" max="13067" width="20.42578125" bestFit="1" customWidth="1"/>
    <col min="13068" max="13068" width="7.85546875" bestFit="1" customWidth="1"/>
    <col min="13069" max="13069" width="10.7109375" bestFit="1" customWidth="1"/>
    <col min="13070" max="13070" width="42.42578125" bestFit="1" customWidth="1"/>
    <col min="13071" max="13071" width="8" bestFit="1" customWidth="1"/>
    <col min="13072" max="13072" width="81.140625" bestFit="1" customWidth="1"/>
    <col min="13314" max="13314" width="15.85546875" bestFit="1" customWidth="1"/>
    <col min="13315" max="13315" width="12.140625" bestFit="1" customWidth="1"/>
    <col min="13316" max="13316" width="15.28515625" bestFit="1" customWidth="1"/>
    <col min="13317" max="13317" width="25.28515625" bestFit="1" customWidth="1"/>
    <col min="13318" max="13318" width="15.85546875" bestFit="1" customWidth="1"/>
    <col min="13319" max="13319" width="6" bestFit="1" customWidth="1"/>
    <col min="13320" max="13320" width="10.7109375" bestFit="1" customWidth="1"/>
    <col min="13321" max="13321" width="29.28515625" bestFit="1" customWidth="1"/>
    <col min="13322" max="13322" width="18.7109375" bestFit="1" customWidth="1"/>
    <col min="13323" max="13323" width="20.42578125" bestFit="1" customWidth="1"/>
    <col min="13324" max="13324" width="7.85546875" bestFit="1" customWidth="1"/>
    <col min="13325" max="13325" width="10.7109375" bestFit="1" customWidth="1"/>
    <col min="13326" max="13326" width="42.42578125" bestFit="1" customWidth="1"/>
    <col min="13327" max="13327" width="8" bestFit="1" customWidth="1"/>
    <col min="13328" max="13328" width="81.140625" bestFit="1" customWidth="1"/>
    <col min="13570" max="13570" width="15.85546875" bestFit="1" customWidth="1"/>
    <col min="13571" max="13571" width="12.140625" bestFit="1" customWidth="1"/>
    <col min="13572" max="13572" width="15.28515625" bestFit="1" customWidth="1"/>
    <col min="13573" max="13573" width="25.28515625" bestFit="1" customWidth="1"/>
    <col min="13574" max="13574" width="15.85546875" bestFit="1" customWidth="1"/>
    <col min="13575" max="13575" width="6" bestFit="1" customWidth="1"/>
    <col min="13576" max="13576" width="10.7109375" bestFit="1" customWidth="1"/>
    <col min="13577" max="13577" width="29.28515625" bestFit="1" customWidth="1"/>
    <col min="13578" max="13578" width="18.7109375" bestFit="1" customWidth="1"/>
    <col min="13579" max="13579" width="20.42578125" bestFit="1" customWidth="1"/>
    <col min="13580" max="13580" width="7.85546875" bestFit="1" customWidth="1"/>
    <col min="13581" max="13581" width="10.7109375" bestFit="1" customWidth="1"/>
    <col min="13582" max="13582" width="42.42578125" bestFit="1" customWidth="1"/>
    <col min="13583" max="13583" width="8" bestFit="1" customWidth="1"/>
    <col min="13584" max="13584" width="81.140625" bestFit="1" customWidth="1"/>
    <col min="13826" max="13826" width="15.85546875" bestFit="1" customWidth="1"/>
    <col min="13827" max="13827" width="12.140625" bestFit="1" customWidth="1"/>
    <col min="13828" max="13828" width="15.28515625" bestFit="1" customWidth="1"/>
    <col min="13829" max="13829" width="25.28515625" bestFit="1" customWidth="1"/>
    <col min="13830" max="13830" width="15.85546875" bestFit="1" customWidth="1"/>
    <col min="13831" max="13831" width="6" bestFit="1" customWidth="1"/>
    <col min="13832" max="13832" width="10.7109375" bestFit="1" customWidth="1"/>
    <col min="13833" max="13833" width="29.28515625" bestFit="1" customWidth="1"/>
    <col min="13834" max="13834" width="18.7109375" bestFit="1" customWidth="1"/>
    <col min="13835" max="13835" width="20.42578125" bestFit="1" customWidth="1"/>
    <col min="13836" max="13836" width="7.85546875" bestFit="1" customWidth="1"/>
    <col min="13837" max="13837" width="10.7109375" bestFit="1" customWidth="1"/>
    <col min="13838" max="13838" width="42.42578125" bestFit="1" customWidth="1"/>
    <col min="13839" max="13839" width="8" bestFit="1" customWidth="1"/>
    <col min="13840" max="13840" width="81.140625" bestFit="1" customWidth="1"/>
    <col min="14082" max="14082" width="15.85546875" bestFit="1" customWidth="1"/>
    <col min="14083" max="14083" width="12.140625" bestFit="1" customWidth="1"/>
    <col min="14084" max="14084" width="15.28515625" bestFit="1" customWidth="1"/>
    <col min="14085" max="14085" width="25.28515625" bestFit="1" customWidth="1"/>
    <col min="14086" max="14086" width="15.85546875" bestFit="1" customWidth="1"/>
    <col min="14087" max="14087" width="6" bestFit="1" customWidth="1"/>
    <col min="14088" max="14088" width="10.7109375" bestFit="1" customWidth="1"/>
    <col min="14089" max="14089" width="29.28515625" bestFit="1" customWidth="1"/>
    <col min="14090" max="14090" width="18.7109375" bestFit="1" customWidth="1"/>
    <col min="14091" max="14091" width="20.42578125" bestFit="1" customWidth="1"/>
    <col min="14092" max="14092" width="7.85546875" bestFit="1" customWidth="1"/>
    <col min="14093" max="14093" width="10.7109375" bestFit="1" customWidth="1"/>
    <col min="14094" max="14094" width="42.42578125" bestFit="1" customWidth="1"/>
    <col min="14095" max="14095" width="8" bestFit="1" customWidth="1"/>
    <col min="14096" max="14096" width="81.140625" bestFit="1" customWidth="1"/>
    <col min="14338" max="14338" width="15.85546875" bestFit="1" customWidth="1"/>
    <col min="14339" max="14339" width="12.140625" bestFit="1" customWidth="1"/>
    <col min="14340" max="14340" width="15.28515625" bestFit="1" customWidth="1"/>
    <col min="14341" max="14341" width="25.28515625" bestFit="1" customWidth="1"/>
    <col min="14342" max="14342" width="15.85546875" bestFit="1" customWidth="1"/>
    <col min="14343" max="14343" width="6" bestFit="1" customWidth="1"/>
    <col min="14344" max="14344" width="10.7109375" bestFit="1" customWidth="1"/>
    <col min="14345" max="14345" width="29.28515625" bestFit="1" customWidth="1"/>
    <col min="14346" max="14346" width="18.7109375" bestFit="1" customWidth="1"/>
    <col min="14347" max="14347" width="20.42578125" bestFit="1" customWidth="1"/>
    <col min="14348" max="14348" width="7.85546875" bestFit="1" customWidth="1"/>
    <col min="14349" max="14349" width="10.7109375" bestFit="1" customWidth="1"/>
    <col min="14350" max="14350" width="42.42578125" bestFit="1" customWidth="1"/>
    <col min="14351" max="14351" width="8" bestFit="1" customWidth="1"/>
    <col min="14352" max="14352" width="81.140625" bestFit="1" customWidth="1"/>
    <col min="14594" max="14594" width="15.85546875" bestFit="1" customWidth="1"/>
    <col min="14595" max="14595" width="12.140625" bestFit="1" customWidth="1"/>
    <col min="14596" max="14596" width="15.28515625" bestFit="1" customWidth="1"/>
    <col min="14597" max="14597" width="25.28515625" bestFit="1" customWidth="1"/>
    <col min="14598" max="14598" width="15.85546875" bestFit="1" customWidth="1"/>
    <col min="14599" max="14599" width="6" bestFit="1" customWidth="1"/>
    <col min="14600" max="14600" width="10.7109375" bestFit="1" customWidth="1"/>
    <col min="14601" max="14601" width="29.28515625" bestFit="1" customWidth="1"/>
    <col min="14602" max="14602" width="18.7109375" bestFit="1" customWidth="1"/>
    <col min="14603" max="14603" width="20.42578125" bestFit="1" customWidth="1"/>
    <col min="14604" max="14604" width="7.85546875" bestFit="1" customWidth="1"/>
    <col min="14605" max="14605" width="10.7109375" bestFit="1" customWidth="1"/>
    <col min="14606" max="14606" width="42.42578125" bestFit="1" customWidth="1"/>
    <col min="14607" max="14607" width="8" bestFit="1" customWidth="1"/>
    <col min="14608" max="14608" width="81.140625" bestFit="1" customWidth="1"/>
    <col min="14850" max="14850" width="15.85546875" bestFit="1" customWidth="1"/>
    <col min="14851" max="14851" width="12.140625" bestFit="1" customWidth="1"/>
    <col min="14852" max="14852" width="15.28515625" bestFit="1" customWidth="1"/>
    <col min="14853" max="14853" width="25.28515625" bestFit="1" customWidth="1"/>
    <col min="14854" max="14854" width="15.85546875" bestFit="1" customWidth="1"/>
    <col min="14855" max="14855" width="6" bestFit="1" customWidth="1"/>
    <col min="14856" max="14856" width="10.7109375" bestFit="1" customWidth="1"/>
    <col min="14857" max="14857" width="29.28515625" bestFit="1" customWidth="1"/>
    <col min="14858" max="14858" width="18.7109375" bestFit="1" customWidth="1"/>
    <col min="14859" max="14859" width="20.42578125" bestFit="1" customWidth="1"/>
    <col min="14860" max="14860" width="7.85546875" bestFit="1" customWidth="1"/>
    <col min="14861" max="14861" width="10.7109375" bestFit="1" customWidth="1"/>
    <col min="14862" max="14862" width="42.42578125" bestFit="1" customWidth="1"/>
    <col min="14863" max="14863" width="8" bestFit="1" customWidth="1"/>
    <col min="14864" max="14864" width="81.140625" bestFit="1" customWidth="1"/>
    <col min="15106" max="15106" width="15.85546875" bestFit="1" customWidth="1"/>
    <col min="15107" max="15107" width="12.140625" bestFit="1" customWidth="1"/>
    <col min="15108" max="15108" width="15.28515625" bestFit="1" customWidth="1"/>
    <col min="15109" max="15109" width="25.28515625" bestFit="1" customWidth="1"/>
    <col min="15110" max="15110" width="15.85546875" bestFit="1" customWidth="1"/>
    <col min="15111" max="15111" width="6" bestFit="1" customWidth="1"/>
    <col min="15112" max="15112" width="10.7109375" bestFit="1" customWidth="1"/>
    <col min="15113" max="15113" width="29.28515625" bestFit="1" customWidth="1"/>
    <col min="15114" max="15114" width="18.7109375" bestFit="1" customWidth="1"/>
    <col min="15115" max="15115" width="20.42578125" bestFit="1" customWidth="1"/>
    <col min="15116" max="15116" width="7.85546875" bestFit="1" customWidth="1"/>
    <col min="15117" max="15117" width="10.7109375" bestFit="1" customWidth="1"/>
    <col min="15118" max="15118" width="42.42578125" bestFit="1" customWidth="1"/>
    <col min="15119" max="15119" width="8" bestFit="1" customWidth="1"/>
    <col min="15120" max="15120" width="81.140625" bestFit="1" customWidth="1"/>
    <col min="15362" max="15362" width="15.85546875" bestFit="1" customWidth="1"/>
    <col min="15363" max="15363" width="12.140625" bestFit="1" customWidth="1"/>
    <col min="15364" max="15364" width="15.28515625" bestFit="1" customWidth="1"/>
    <col min="15365" max="15365" width="25.28515625" bestFit="1" customWidth="1"/>
    <col min="15366" max="15366" width="15.85546875" bestFit="1" customWidth="1"/>
    <col min="15367" max="15367" width="6" bestFit="1" customWidth="1"/>
    <col min="15368" max="15368" width="10.7109375" bestFit="1" customWidth="1"/>
    <col min="15369" max="15369" width="29.28515625" bestFit="1" customWidth="1"/>
    <col min="15370" max="15370" width="18.7109375" bestFit="1" customWidth="1"/>
    <col min="15371" max="15371" width="20.42578125" bestFit="1" customWidth="1"/>
    <col min="15372" max="15372" width="7.85546875" bestFit="1" customWidth="1"/>
    <col min="15373" max="15373" width="10.7109375" bestFit="1" customWidth="1"/>
    <col min="15374" max="15374" width="42.42578125" bestFit="1" customWidth="1"/>
    <col min="15375" max="15375" width="8" bestFit="1" customWidth="1"/>
    <col min="15376" max="15376" width="81.140625" bestFit="1" customWidth="1"/>
    <col min="15618" max="15618" width="15.85546875" bestFit="1" customWidth="1"/>
    <col min="15619" max="15619" width="12.140625" bestFit="1" customWidth="1"/>
    <col min="15620" max="15620" width="15.28515625" bestFit="1" customWidth="1"/>
    <col min="15621" max="15621" width="25.28515625" bestFit="1" customWidth="1"/>
    <col min="15622" max="15622" width="15.85546875" bestFit="1" customWidth="1"/>
    <col min="15623" max="15623" width="6" bestFit="1" customWidth="1"/>
    <col min="15624" max="15624" width="10.7109375" bestFit="1" customWidth="1"/>
    <col min="15625" max="15625" width="29.28515625" bestFit="1" customWidth="1"/>
    <col min="15626" max="15626" width="18.7109375" bestFit="1" customWidth="1"/>
    <col min="15627" max="15627" width="20.42578125" bestFit="1" customWidth="1"/>
    <col min="15628" max="15628" width="7.85546875" bestFit="1" customWidth="1"/>
    <col min="15629" max="15629" width="10.7109375" bestFit="1" customWidth="1"/>
    <col min="15630" max="15630" width="42.42578125" bestFit="1" customWidth="1"/>
    <col min="15631" max="15631" width="8" bestFit="1" customWidth="1"/>
    <col min="15632" max="15632" width="81.140625" bestFit="1" customWidth="1"/>
    <col min="15874" max="15874" width="15.85546875" bestFit="1" customWidth="1"/>
    <col min="15875" max="15875" width="12.140625" bestFit="1" customWidth="1"/>
    <col min="15876" max="15876" width="15.28515625" bestFit="1" customWidth="1"/>
    <col min="15877" max="15877" width="25.28515625" bestFit="1" customWidth="1"/>
    <col min="15878" max="15878" width="15.85546875" bestFit="1" customWidth="1"/>
    <col min="15879" max="15879" width="6" bestFit="1" customWidth="1"/>
    <col min="15880" max="15880" width="10.7109375" bestFit="1" customWidth="1"/>
    <col min="15881" max="15881" width="29.28515625" bestFit="1" customWidth="1"/>
    <col min="15882" max="15882" width="18.7109375" bestFit="1" customWidth="1"/>
    <col min="15883" max="15883" width="20.42578125" bestFit="1" customWidth="1"/>
    <col min="15884" max="15884" width="7.85546875" bestFit="1" customWidth="1"/>
    <col min="15885" max="15885" width="10.7109375" bestFit="1" customWidth="1"/>
    <col min="15886" max="15886" width="42.42578125" bestFit="1" customWidth="1"/>
    <col min="15887" max="15887" width="8" bestFit="1" customWidth="1"/>
    <col min="15888" max="15888" width="81.140625" bestFit="1" customWidth="1"/>
    <col min="16130" max="16130" width="15.85546875" bestFit="1" customWidth="1"/>
    <col min="16131" max="16131" width="12.140625" bestFit="1" customWidth="1"/>
    <col min="16132" max="16132" width="15.28515625" bestFit="1" customWidth="1"/>
    <col min="16133" max="16133" width="25.28515625" bestFit="1" customWidth="1"/>
    <col min="16134" max="16134" width="15.85546875" bestFit="1" customWidth="1"/>
    <col min="16135" max="16135" width="6" bestFit="1" customWidth="1"/>
    <col min="16136" max="16136" width="10.7109375" bestFit="1" customWidth="1"/>
    <col min="16137" max="16137" width="29.28515625" bestFit="1" customWidth="1"/>
    <col min="16138" max="16138" width="18.7109375" bestFit="1" customWidth="1"/>
    <col min="16139" max="16139" width="20.42578125" bestFit="1" customWidth="1"/>
    <col min="16140" max="16140" width="7.85546875" bestFit="1" customWidth="1"/>
    <col min="16141" max="16141" width="10.7109375" bestFit="1" customWidth="1"/>
    <col min="16142" max="16142" width="42.42578125" bestFit="1" customWidth="1"/>
    <col min="16143" max="16143" width="8" bestFit="1" customWidth="1"/>
    <col min="16144" max="16144" width="81.140625" bestFit="1" customWidth="1"/>
  </cols>
  <sheetData>
    <row r="1" spans="1:17" s="4" customFormat="1" x14ac:dyDescent="0.25">
      <c r="A1" s="3" t="s">
        <v>857</v>
      </c>
      <c r="B1" s="3" t="s">
        <v>875</v>
      </c>
      <c r="C1" s="3" t="s">
        <v>858</v>
      </c>
      <c r="D1" s="3" t="s">
        <v>859</v>
      </c>
      <c r="E1" s="3" t="s">
        <v>18</v>
      </c>
      <c r="F1" s="3" t="s">
        <v>19</v>
      </c>
      <c r="G1" s="3" t="s">
        <v>20</v>
      </c>
      <c r="H1" s="3" t="s">
        <v>21</v>
      </c>
      <c r="I1" s="3" t="s">
        <v>22</v>
      </c>
      <c r="J1" s="3" t="s">
        <v>860</v>
      </c>
      <c r="K1" s="3" t="s">
        <v>23</v>
      </c>
      <c r="L1" s="3" t="s">
        <v>861</v>
      </c>
      <c r="M1" s="3" t="s">
        <v>24</v>
      </c>
      <c r="N1" s="7" t="s">
        <v>877</v>
      </c>
      <c r="O1" s="3" t="s">
        <v>871</v>
      </c>
      <c r="P1" s="3" t="s">
        <v>26</v>
      </c>
      <c r="Q1" s="3" t="s">
        <v>27</v>
      </c>
    </row>
    <row r="2" spans="1:17" x14ac:dyDescent="0.25">
      <c r="A2" s="5" t="b">
        <v>1</v>
      </c>
      <c r="B2" t="s">
        <v>876</v>
      </c>
      <c r="C2" t="s">
        <v>610</v>
      </c>
      <c r="D2" t="s">
        <v>771</v>
      </c>
      <c r="E2" s="6" t="s">
        <v>878</v>
      </c>
      <c r="F2" t="s">
        <v>243</v>
      </c>
      <c r="G2" t="s">
        <v>49</v>
      </c>
      <c r="H2" s="5">
        <v>43606</v>
      </c>
      <c r="I2" t="s">
        <v>43</v>
      </c>
      <c r="J2" t="s">
        <v>446</v>
      </c>
      <c r="K2" t="s">
        <v>474</v>
      </c>
      <c r="L2">
        <v>2018</v>
      </c>
      <c r="M2" s="5">
        <v>43477</v>
      </c>
      <c r="N2" s="8">
        <f>YEAR(M2)</f>
        <v>2019</v>
      </c>
      <c r="O2" t="s">
        <v>870</v>
      </c>
      <c r="P2">
        <v>2</v>
      </c>
      <c r="Q2" t="s">
        <v>244</v>
      </c>
    </row>
    <row r="3" spans="1:17" x14ac:dyDescent="0.25">
      <c r="A3" s="5" t="b">
        <v>1</v>
      </c>
      <c r="B3" t="s">
        <v>876</v>
      </c>
      <c r="C3" t="s">
        <v>632</v>
      </c>
      <c r="D3" t="s">
        <v>795</v>
      </c>
      <c r="E3" s="6" t="s">
        <v>878</v>
      </c>
      <c r="F3" t="s">
        <v>297</v>
      </c>
      <c r="G3" t="s">
        <v>63</v>
      </c>
      <c r="H3" s="5">
        <v>43497</v>
      </c>
      <c r="I3" t="s">
        <v>298</v>
      </c>
      <c r="J3" t="s">
        <v>856</v>
      </c>
      <c r="K3" t="s">
        <v>507</v>
      </c>
      <c r="L3">
        <v>2018</v>
      </c>
      <c r="M3" s="5">
        <v>43487</v>
      </c>
      <c r="N3" s="8">
        <f t="shared" ref="N3:N66" si="0">YEAR(M3)</f>
        <v>2019</v>
      </c>
      <c r="O3" t="s">
        <v>870</v>
      </c>
      <c r="P3">
        <v>2</v>
      </c>
      <c r="Q3" t="s">
        <v>299</v>
      </c>
    </row>
    <row r="4" spans="1:17" x14ac:dyDescent="0.25">
      <c r="A4" s="5" t="b">
        <v>1</v>
      </c>
      <c r="B4" t="s">
        <v>876</v>
      </c>
      <c r="C4" t="s">
        <v>617</v>
      </c>
      <c r="D4" t="s">
        <v>777</v>
      </c>
      <c r="E4" s="6" t="s">
        <v>878</v>
      </c>
      <c r="F4" t="s">
        <v>260</v>
      </c>
      <c r="G4" t="s">
        <v>63</v>
      </c>
      <c r="H4" s="5">
        <v>43580</v>
      </c>
      <c r="I4" t="s">
        <v>67</v>
      </c>
      <c r="J4" t="s">
        <v>437</v>
      </c>
      <c r="K4" t="s">
        <v>481</v>
      </c>
      <c r="L4">
        <v>2016</v>
      </c>
      <c r="M4" s="5">
        <v>43523</v>
      </c>
      <c r="N4" s="8">
        <f t="shared" si="0"/>
        <v>2019</v>
      </c>
      <c r="O4" t="s">
        <v>870</v>
      </c>
      <c r="P4">
        <v>2</v>
      </c>
      <c r="Q4" t="s">
        <v>261</v>
      </c>
    </row>
    <row r="5" spans="1:17" x14ac:dyDescent="0.25">
      <c r="A5" s="5"/>
      <c r="B5" t="s">
        <v>876</v>
      </c>
      <c r="C5" t="s">
        <v>545</v>
      </c>
      <c r="D5" t="s">
        <v>691</v>
      </c>
      <c r="E5" s="6" t="s">
        <v>878</v>
      </c>
      <c r="F5" t="s">
        <v>54</v>
      </c>
      <c r="G5" t="s">
        <v>55</v>
      </c>
      <c r="H5" s="5">
        <v>43844</v>
      </c>
      <c r="I5" t="s">
        <v>43</v>
      </c>
      <c r="J5" t="s">
        <v>446</v>
      </c>
      <c r="K5" t="s">
        <v>460</v>
      </c>
      <c r="L5">
        <v>2014</v>
      </c>
      <c r="M5" s="5">
        <v>43842</v>
      </c>
      <c r="N5" s="8">
        <f t="shared" si="0"/>
        <v>2020</v>
      </c>
      <c r="O5" t="s">
        <v>870</v>
      </c>
      <c r="P5">
        <v>4</v>
      </c>
      <c r="Q5" t="s">
        <v>865</v>
      </c>
    </row>
    <row r="6" spans="1:17" x14ac:dyDescent="0.25">
      <c r="A6" s="5"/>
      <c r="B6" t="s">
        <v>876</v>
      </c>
      <c r="C6" t="s">
        <v>560</v>
      </c>
      <c r="D6" t="s">
        <v>827</v>
      </c>
      <c r="E6" s="6" t="s">
        <v>878</v>
      </c>
      <c r="F6" t="s">
        <v>77</v>
      </c>
      <c r="G6" t="s">
        <v>140</v>
      </c>
      <c r="H6" s="5">
        <v>43308</v>
      </c>
      <c r="I6" t="s">
        <v>30</v>
      </c>
      <c r="J6" t="s">
        <v>436</v>
      </c>
      <c r="K6" t="s">
        <v>522</v>
      </c>
      <c r="L6">
        <v>2017</v>
      </c>
      <c r="M6" s="5">
        <v>43301</v>
      </c>
      <c r="N6" s="8">
        <f t="shared" si="0"/>
        <v>2018</v>
      </c>
      <c r="O6" t="s">
        <v>870</v>
      </c>
      <c r="P6">
        <v>1</v>
      </c>
      <c r="Q6" t="s">
        <v>376</v>
      </c>
    </row>
    <row r="7" spans="1:17" x14ac:dyDescent="0.25">
      <c r="B7" t="s">
        <v>876</v>
      </c>
      <c r="C7" t="s">
        <v>544</v>
      </c>
      <c r="D7" t="s">
        <v>690</v>
      </c>
      <c r="E7" s="6" t="s">
        <v>878</v>
      </c>
      <c r="F7" t="s">
        <v>51</v>
      </c>
      <c r="G7" t="s">
        <v>52</v>
      </c>
      <c r="H7" s="5">
        <v>43849</v>
      </c>
      <c r="I7" t="s">
        <v>30</v>
      </c>
      <c r="J7" t="s">
        <v>436</v>
      </c>
      <c r="K7" t="s">
        <v>459</v>
      </c>
      <c r="L7">
        <v>2018</v>
      </c>
      <c r="M7" s="5">
        <v>43751</v>
      </c>
      <c r="N7" s="8">
        <f t="shared" si="0"/>
        <v>2019</v>
      </c>
      <c r="O7" t="s">
        <v>870</v>
      </c>
      <c r="P7">
        <v>2</v>
      </c>
      <c r="Q7" t="s">
        <v>53</v>
      </c>
    </row>
    <row r="8" spans="1:17" x14ac:dyDescent="0.25">
      <c r="B8" t="s">
        <v>876</v>
      </c>
      <c r="C8" t="s">
        <v>556</v>
      </c>
      <c r="D8" t="s">
        <v>702</v>
      </c>
      <c r="E8" s="6" t="s">
        <v>878</v>
      </c>
      <c r="F8" t="s">
        <v>83</v>
      </c>
      <c r="G8" t="s">
        <v>36</v>
      </c>
      <c r="H8" s="5">
        <v>43822</v>
      </c>
      <c r="I8" t="s">
        <v>30</v>
      </c>
      <c r="J8" t="s">
        <v>436</v>
      </c>
      <c r="K8" t="s">
        <v>467</v>
      </c>
      <c r="L8">
        <v>2018</v>
      </c>
      <c r="M8" s="5">
        <v>43821</v>
      </c>
      <c r="N8" s="8">
        <f t="shared" si="0"/>
        <v>2019</v>
      </c>
      <c r="O8" t="s">
        <v>870</v>
      </c>
      <c r="P8">
        <v>2</v>
      </c>
      <c r="Q8" t="s">
        <v>84</v>
      </c>
    </row>
    <row r="9" spans="1:17" x14ac:dyDescent="0.25">
      <c r="B9" t="s">
        <v>876</v>
      </c>
      <c r="C9" t="s">
        <v>620</v>
      </c>
      <c r="D9" t="s">
        <v>780</v>
      </c>
      <c r="E9" s="6" t="s">
        <v>874</v>
      </c>
      <c r="F9" t="s">
        <v>266</v>
      </c>
      <c r="G9" t="s">
        <v>98</v>
      </c>
      <c r="H9" s="5">
        <v>43565</v>
      </c>
      <c r="I9" t="s">
        <v>43</v>
      </c>
      <c r="J9" t="s">
        <v>446</v>
      </c>
      <c r="K9" t="s">
        <v>57</v>
      </c>
      <c r="L9">
        <v>2015</v>
      </c>
      <c r="M9" s="5">
        <v>42941</v>
      </c>
      <c r="N9" s="8">
        <f t="shared" si="0"/>
        <v>2017</v>
      </c>
      <c r="O9" t="s">
        <v>870</v>
      </c>
      <c r="P9">
        <v>5</v>
      </c>
      <c r="Q9" t="s">
        <v>267</v>
      </c>
    </row>
    <row r="10" spans="1:17" x14ac:dyDescent="0.25">
      <c r="B10" t="s">
        <v>876</v>
      </c>
      <c r="C10" t="s">
        <v>557</v>
      </c>
      <c r="D10" t="s">
        <v>703</v>
      </c>
      <c r="E10" s="6" t="s">
        <v>874</v>
      </c>
      <c r="F10" t="s">
        <v>83</v>
      </c>
      <c r="G10" t="s">
        <v>36</v>
      </c>
      <c r="H10" s="5">
        <v>43822</v>
      </c>
      <c r="I10" t="s">
        <v>30</v>
      </c>
      <c r="J10" t="s">
        <v>436</v>
      </c>
      <c r="K10" t="s">
        <v>467</v>
      </c>
      <c r="L10">
        <v>2018</v>
      </c>
      <c r="M10" s="5">
        <v>43729</v>
      </c>
      <c r="N10" s="8">
        <f t="shared" si="0"/>
        <v>2019</v>
      </c>
      <c r="O10" t="s">
        <v>870</v>
      </c>
      <c r="P10">
        <v>1</v>
      </c>
      <c r="Q10" t="s">
        <v>85</v>
      </c>
    </row>
    <row r="11" spans="1:17" x14ac:dyDescent="0.25">
      <c r="B11" t="s">
        <v>876</v>
      </c>
      <c r="C11" t="s">
        <v>559</v>
      </c>
      <c r="D11" t="s">
        <v>705</v>
      </c>
      <c r="E11" s="6" t="s">
        <v>874</v>
      </c>
      <c r="F11" t="s">
        <v>89</v>
      </c>
      <c r="G11" t="s">
        <v>90</v>
      </c>
      <c r="H11" s="5">
        <v>43815</v>
      </c>
      <c r="I11" t="s">
        <v>43</v>
      </c>
      <c r="J11" t="s">
        <v>446</v>
      </c>
      <c r="K11" t="s">
        <v>458</v>
      </c>
      <c r="L11">
        <v>2013</v>
      </c>
      <c r="M11" s="5">
        <v>43808</v>
      </c>
      <c r="N11" s="8">
        <f t="shared" si="0"/>
        <v>2019</v>
      </c>
      <c r="O11" t="s">
        <v>870</v>
      </c>
      <c r="P11">
        <v>1</v>
      </c>
      <c r="Q11" t="s">
        <v>91</v>
      </c>
    </row>
    <row r="12" spans="1:17" x14ac:dyDescent="0.25">
      <c r="A12" s="1"/>
      <c r="B12" t="s">
        <v>876</v>
      </c>
      <c r="C12" t="s">
        <v>538</v>
      </c>
      <c r="D12" t="s">
        <v>684</v>
      </c>
      <c r="E12" s="6" t="s">
        <v>874</v>
      </c>
      <c r="F12" t="s">
        <v>32</v>
      </c>
      <c r="G12" t="s">
        <v>33</v>
      </c>
      <c r="H12" s="5">
        <v>43876</v>
      </c>
      <c r="I12" t="s">
        <v>34</v>
      </c>
      <c r="J12" t="s">
        <v>431</v>
      </c>
      <c r="K12" t="s">
        <v>454</v>
      </c>
      <c r="L12">
        <v>2018</v>
      </c>
      <c r="M12" s="5">
        <v>43833</v>
      </c>
      <c r="N12" s="8">
        <f t="shared" si="0"/>
        <v>2020</v>
      </c>
      <c r="O12" t="s">
        <v>870</v>
      </c>
      <c r="P12">
        <v>1</v>
      </c>
      <c r="Q12" t="s">
        <v>863</v>
      </c>
    </row>
    <row r="13" spans="1:17" x14ac:dyDescent="0.25">
      <c r="B13" t="s">
        <v>876</v>
      </c>
      <c r="C13" t="s">
        <v>542</v>
      </c>
      <c r="D13" t="s">
        <v>688</v>
      </c>
      <c r="E13" s="6" t="s">
        <v>874</v>
      </c>
      <c r="F13" t="s">
        <v>46</v>
      </c>
      <c r="G13" t="s">
        <v>47</v>
      </c>
      <c r="H13" s="5">
        <v>43850</v>
      </c>
      <c r="I13" t="s">
        <v>43</v>
      </c>
      <c r="J13" t="s">
        <v>446</v>
      </c>
      <c r="K13" t="s">
        <v>458</v>
      </c>
      <c r="L13">
        <v>2016</v>
      </c>
      <c r="M13" s="5">
        <v>43594</v>
      </c>
      <c r="N13" s="8">
        <f t="shared" si="0"/>
        <v>2019</v>
      </c>
      <c r="O13" t="s">
        <v>870</v>
      </c>
      <c r="P13">
        <v>1</v>
      </c>
      <c r="Q13" t="s">
        <v>864</v>
      </c>
    </row>
    <row r="14" spans="1:17" x14ac:dyDescent="0.25">
      <c r="B14" t="s">
        <v>876</v>
      </c>
      <c r="C14" t="s">
        <v>633</v>
      </c>
      <c r="D14" t="s">
        <v>796</v>
      </c>
      <c r="E14" s="6" t="s">
        <v>874</v>
      </c>
      <c r="F14" t="s">
        <v>301</v>
      </c>
      <c r="G14" t="s">
        <v>36</v>
      </c>
      <c r="H14" s="5">
        <v>43494</v>
      </c>
      <c r="I14" t="s">
        <v>43</v>
      </c>
      <c r="J14" t="s">
        <v>446</v>
      </c>
      <c r="K14" t="s">
        <v>475</v>
      </c>
      <c r="L14">
        <v>2018</v>
      </c>
      <c r="M14" s="5">
        <v>43487</v>
      </c>
      <c r="N14" s="8">
        <f t="shared" si="0"/>
        <v>2019</v>
      </c>
      <c r="O14" t="s">
        <v>870</v>
      </c>
      <c r="P14">
        <v>1</v>
      </c>
      <c r="Q14" t="s">
        <v>866</v>
      </c>
    </row>
    <row r="15" spans="1:17" x14ac:dyDescent="0.25">
      <c r="B15" t="s">
        <v>876</v>
      </c>
      <c r="C15" t="s">
        <v>553</v>
      </c>
      <c r="D15" t="s">
        <v>699</v>
      </c>
      <c r="E15" s="6" t="s">
        <v>874</v>
      </c>
      <c r="F15" t="s">
        <v>76</v>
      </c>
      <c r="G15" t="s">
        <v>39</v>
      </c>
      <c r="H15" s="5">
        <v>43823</v>
      </c>
      <c r="I15" t="s">
        <v>43</v>
      </c>
      <c r="J15" t="s">
        <v>434</v>
      </c>
      <c r="K15" t="s">
        <v>465</v>
      </c>
      <c r="L15">
        <v>2015</v>
      </c>
      <c r="M15" s="5">
        <v>43775</v>
      </c>
      <c r="N15" s="8">
        <f t="shared" si="0"/>
        <v>2019</v>
      </c>
      <c r="O15" t="s">
        <v>870</v>
      </c>
      <c r="P15">
        <v>1</v>
      </c>
      <c r="Q15" t="s">
        <v>862</v>
      </c>
    </row>
    <row r="16" spans="1:17" x14ac:dyDescent="0.25">
      <c r="B16" t="s">
        <v>876</v>
      </c>
      <c r="C16" t="s">
        <v>558</v>
      </c>
      <c r="D16" t="s">
        <v>704</v>
      </c>
      <c r="E16" s="6" t="s">
        <v>874</v>
      </c>
      <c r="F16" t="s">
        <v>86</v>
      </c>
      <c r="G16" t="s">
        <v>63</v>
      </c>
      <c r="H16" s="5">
        <v>43816</v>
      </c>
      <c r="I16" t="s">
        <v>67</v>
      </c>
      <c r="J16" t="s">
        <v>437</v>
      </c>
      <c r="K16" t="s">
        <v>87</v>
      </c>
      <c r="L16">
        <v>2017</v>
      </c>
      <c r="M16" s="5">
        <v>43783</v>
      </c>
      <c r="N16" s="8">
        <f t="shared" si="0"/>
        <v>2019</v>
      </c>
      <c r="O16" t="s">
        <v>870</v>
      </c>
      <c r="P16">
        <v>1</v>
      </c>
      <c r="Q16" t="s">
        <v>88</v>
      </c>
    </row>
    <row r="17" spans="1:17" x14ac:dyDescent="0.25">
      <c r="A17" s="1"/>
      <c r="B17" t="s">
        <v>876</v>
      </c>
      <c r="C17" t="s">
        <v>539</v>
      </c>
      <c r="D17" t="s">
        <v>685</v>
      </c>
      <c r="E17" s="6" t="s">
        <v>874</v>
      </c>
      <c r="F17" t="s">
        <v>35</v>
      </c>
      <c r="G17" t="s">
        <v>36</v>
      </c>
      <c r="H17" s="5">
        <v>43860</v>
      </c>
      <c r="I17" t="s">
        <v>34</v>
      </c>
      <c r="J17" t="s">
        <v>431</v>
      </c>
      <c r="K17" t="s">
        <v>455</v>
      </c>
      <c r="L17">
        <v>2015</v>
      </c>
      <c r="M17" s="5">
        <v>43774</v>
      </c>
      <c r="N17" s="8">
        <f t="shared" si="0"/>
        <v>2019</v>
      </c>
      <c r="O17" t="s">
        <v>870</v>
      </c>
      <c r="P17">
        <v>1</v>
      </c>
      <c r="Q17" t="s">
        <v>37</v>
      </c>
    </row>
    <row r="18" spans="1:17" x14ac:dyDescent="0.25">
      <c r="B18" t="s">
        <v>876</v>
      </c>
      <c r="C18" t="s">
        <v>560</v>
      </c>
      <c r="D18" t="s">
        <v>781</v>
      </c>
      <c r="E18" s="6" t="s">
        <v>874</v>
      </c>
      <c r="F18" t="s">
        <v>268</v>
      </c>
      <c r="G18" t="s">
        <v>120</v>
      </c>
      <c r="H18" s="5">
        <v>43563</v>
      </c>
      <c r="I18" t="s">
        <v>43</v>
      </c>
      <c r="J18" t="s">
        <v>446</v>
      </c>
      <c r="K18" t="s">
        <v>458</v>
      </c>
      <c r="L18">
        <v>2019</v>
      </c>
      <c r="M18" s="5">
        <v>43545</v>
      </c>
      <c r="N18" s="8">
        <f t="shared" si="0"/>
        <v>2019</v>
      </c>
      <c r="O18" t="s">
        <v>870</v>
      </c>
      <c r="P18">
        <v>3</v>
      </c>
      <c r="Q18" t="s">
        <v>269</v>
      </c>
    </row>
    <row r="19" spans="1:17" x14ac:dyDescent="0.25">
      <c r="B19" t="s">
        <v>876</v>
      </c>
      <c r="C19" t="s">
        <v>569</v>
      </c>
      <c r="D19" t="s">
        <v>714</v>
      </c>
      <c r="E19" s="6" t="s">
        <v>874</v>
      </c>
      <c r="F19" t="s">
        <v>114</v>
      </c>
      <c r="G19" t="s">
        <v>80</v>
      </c>
      <c r="H19" s="5">
        <v>43795</v>
      </c>
      <c r="I19" t="s">
        <v>67</v>
      </c>
      <c r="J19" t="s">
        <v>437</v>
      </c>
      <c r="K19" t="s">
        <v>115</v>
      </c>
      <c r="L19">
        <v>2019</v>
      </c>
      <c r="M19" s="5">
        <v>43760</v>
      </c>
      <c r="N19" s="8">
        <f t="shared" si="0"/>
        <v>2019</v>
      </c>
      <c r="O19" t="s">
        <v>870</v>
      </c>
      <c r="P19">
        <v>1</v>
      </c>
      <c r="Q19" t="s">
        <v>116</v>
      </c>
    </row>
    <row r="20" spans="1:17" x14ac:dyDescent="0.25">
      <c r="B20" t="s">
        <v>876</v>
      </c>
      <c r="C20" t="s">
        <v>587</v>
      </c>
      <c r="D20" t="s">
        <v>737</v>
      </c>
      <c r="E20" s="6" t="s">
        <v>874</v>
      </c>
      <c r="F20" t="s">
        <v>172</v>
      </c>
      <c r="G20" t="s">
        <v>120</v>
      </c>
      <c r="H20" s="5">
        <v>43692</v>
      </c>
      <c r="I20" t="s">
        <v>43</v>
      </c>
      <c r="J20" t="s">
        <v>60</v>
      </c>
      <c r="K20" t="s">
        <v>482</v>
      </c>
      <c r="L20">
        <v>2015</v>
      </c>
      <c r="M20" s="5">
        <v>41977</v>
      </c>
      <c r="N20" s="8">
        <f t="shared" si="0"/>
        <v>2014</v>
      </c>
      <c r="O20" t="s">
        <v>870</v>
      </c>
      <c r="P20">
        <v>3</v>
      </c>
      <c r="Q20" t="s">
        <v>173</v>
      </c>
    </row>
    <row r="21" spans="1:17" x14ac:dyDescent="0.25">
      <c r="B21" t="s">
        <v>876</v>
      </c>
      <c r="C21" t="s">
        <v>579</v>
      </c>
      <c r="D21" t="s">
        <v>726</v>
      </c>
      <c r="E21" s="6" t="s">
        <v>874</v>
      </c>
      <c r="F21" t="s">
        <v>145</v>
      </c>
      <c r="G21" t="s">
        <v>52</v>
      </c>
      <c r="H21" s="5">
        <v>43739</v>
      </c>
      <c r="I21" t="s">
        <v>43</v>
      </c>
      <c r="J21" t="s">
        <v>446</v>
      </c>
      <c r="K21" t="s">
        <v>57</v>
      </c>
      <c r="L21">
        <v>2015</v>
      </c>
      <c r="M21" s="5">
        <v>43678</v>
      </c>
      <c r="N21" s="8">
        <f t="shared" si="0"/>
        <v>2019</v>
      </c>
      <c r="O21" t="s">
        <v>870</v>
      </c>
      <c r="P21">
        <v>1</v>
      </c>
      <c r="Q21" t="s">
        <v>146</v>
      </c>
    </row>
    <row r="22" spans="1:17" x14ac:dyDescent="0.25">
      <c r="B22" t="s">
        <v>876</v>
      </c>
      <c r="C22" t="s">
        <v>598</v>
      </c>
      <c r="D22" t="s">
        <v>755</v>
      </c>
      <c r="E22" s="6" t="s">
        <v>874</v>
      </c>
      <c r="F22" t="s">
        <v>170</v>
      </c>
      <c r="G22" t="s">
        <v>80</v>
      </c>
      <c r="H22" s="5">
        <v>43671</v>
      </c>
      <c r="I22" t="s">
        <v>43</v>
      </c>
      <c r="J22" t="s">
        <v>60</v>
      </c>
      <c r="K22" t="s">
        <v>468</v>
      </c>
      <c r="L22">
        <v>2014</v>
      </c>
      <c r="M22" s="5">
        <v>41934</v>
      </c>
      <c r="N22" s="8">
        <f t="shared" si="0"/>
        <v>2014</v>
      </c>
      <c r="O22" t="s">
        <v>870</v>
      </c>
      <c r="P22">
        <v>3</v>
      </c>
      <c r="Q22" t="s">
        <v>211</v>
      </c>
    </row>
    <row r="23" spans="1:17" x14ac:dyDescent="0.25">
      <c r="A23" s="1"/>
      <c r="B23" t="s">
        <v>876</v>
      </c>
      <c r="C23" t="s">
        <v>537</v>
      </c>
      <c r="D23" t="s">
        <v>683</v>
      </c>
      <c r="E23" s="6" t="s">
        <v>874</v>
      </c>
      <c r="F23" t="s">
        <v>28</v>
      </c>
      <c r="G23" t="s">
        <v>29</v>
      </c>
      <c r="H23" s="5">
        <v>43876</v>
      </c>
      <c r="I23" t="s">
        <v>30</v>
      </c>
      <c r="J23" t="s">
        <v>430</v>
      </c>
      <c r="K23" t="s">
        <v>453</v>
      </c>
      <c r="L23">
        <v>2010</v>
      </c>
      <c r="M23" s="5">
        <v>40972</v>
      </c>
      <c r="N23" s="8">
        <f t="shared" si="0"/>
        <v>2012</v>
      </c>
      <c r="O23" t="s">
        <v>870</v>
      </c>
      <c r="P23">
        <v>2</v>
      </c>
      <c r="Q23" t="s">
        <v>31</v>
      </c>
    </row>
    <row r="24" spans="1:17" x14ac:dyDescent="0.25">
      <c r="A24" s="1"/>
      <c r="B24" t="s">
        <v>876</v>
      </c>
      <c r="C24" t="s">
        <v>540</v>
      </c>
      <c r="D24" t="s">
        <v>686</v>
      </c>
      <c r="E24" s="6" t="s">
        <v>874</v>
      </c>
      <c r="F24" t="s">
        <v>38</v>
      </c>
      <c r="G24" t="s">
        <v>39</v>
      </c>
      <c r="H24" s="5">
        <v>43858</v>
      </c>
      <c r="I24" t="s">
        <v>30</v>
      </c>
      <c r="J24" t="s">
        <v>436</v>
      </c>
      <c r="K24" t="s">
        <v>456</v>
      </c>
      <c r="L24">
        <v>2019</v>
      </c>
      <c r="M24" s="5">
        <v>43841</v>
      </c>
      <c r="N24" s="8">
        <f t="shared" si="0"/>
        <v>2020</v>
      </c>
      <c r="O24" t="s">
        <v>870</v>
      </c>
      <c r="P24">
        <v>2</v>
      </c>
      <c r="Q24" t="s">
        <v>40</v>
      </c>
    </row>
    <row r="25" spans="1:17" x14ac:dyDescent="0.25">
      <c r="B25" t="s">
        <v>876</v>
      </c>
      <c r="C25" t="s">
        <v>541</v>
      </c>
      <c r="D25" t="s">
        <v>687</v>
      </c>
      <c r="E25" s="6" t="s">
        <v>874</v>
      </c>
      <c r="F25" t="s">
        <v>41</v>
      </c>
      <c r="G25" t="s">
        <v>42</v>
      </c>
      <c r="H25" s="5">
        <v>43857</v>
      </c>
      <c r="I25" t="s">
        <v>43</v>
      </c>
      <c r="J25" t="s">
        <v>432</v>
      </c>
      <c r="K25" t="s">
        <v>457</v>
      </c>
      <c r="L25">
        <v>2013</v>
      </c>
      <c r="M25" s="5">
        <v>43830</v>
      </c>
      <c r="N25" s="8">
        <f t="shared" si="0"/>
        <v>2019</v>
      </c>
      <c r="O25" t="s">
        <v>870</v>
      </c>
      <c r="P25">
        <v>2</v>
      </c>
      <c r="Q25" t="s">
        <v>45</v>
      </c>
    </row>
    <row r="26" spans="1:17" x14ac:dyDescent="0.25">
      <c r="C26" t="s">
        <v>543</v>
      </c>
      <c r="D26" t="s">
        <v>689</v>
      </c>
      <c r="E26" s="6" t="s">
        <v>874</v>
      </c>
      <c r="F26" t="s">
        <v>48</v>
      </c>
      <c r="G26" t="s">
        <v>49</v>
      </c>
      <c r="H26" s="5">
        <v>43849</v>
      </c>
      <c r="I26" t="s">
        <v>43</v>
      </c>
      <c r="J26" t="s">
        <v>446</v>
      </c>
      <c r="K26" t="s">
        <v>458</v>
      </c>
      <c r="L26">
        <v>2017</v>
      </c>
      <c r="M26" s="5">
        <v>43824</v>
      </c>
      <c r="N26" s="8">
        <f t="shared" si="0"/>
        <v>2019</v>
      </c>
      <c r="O26" t="s">
        <v>870</v>
      </c>
      <c r="P26">
        <v>3</v>
      </c>
      <c r="Q26" t="s">
        <v>50</v>
      </c>
    </row>
    <row r="27" spans="1:17" x14ac:dyDescent="0.25">
      <c r="C27" t="s">
        <v>546</v>
      </c>
      <c r="D27" t="s">
        <v>692</v>
      </c>
      <c r="E27" s="6" t="s">
        <v>874</v>
      </c>
      <c r="F27" t="s">
        <v>56</v>
      </c>
      <c r="G27" t="s">
        <v>33</v>
      </c>
      <c r="H27" s="5">
        <v>43843</v>
      </c>
      <c r="I27" t="s">
        <v>43</v>
      </c>
      <c r="J27" t="s">
        <v>446</v>
      </c>
      <c r="K27" t="s">
        <v>57</v>
      </c>
      <c r="L27">
        <v>2018</v>
      </c>
      <c r="M27" s="5">
        <v>43839</v>
      </c>
      <c r="N27" s="8">
        <f t="shared" si="0"/>
        <v>2020</v>
      </c>
      <c r="O27" t="s">
        <v>870</v>
      </c>
      <c r="P27">
        <v>1</v>
      </c>
      <c r="Q27" t="s">
        <v>58</v>
      </c>
    </row>
    <row r="28" spans="1:17" x14ac:dyDescent="0.25">
      <c r="C28" t="s">
        <v>547</v>
      </c>
      <c r="D28" t="s">
        <v>693</v>
      </c>
      <c r="E28" s="6" t="s">
        <v>874</v>
      </c>
      <c r="F28" t="s">
        <v>59</v>
      </c>
      <c r="G28" t="s">
        <v>33</v>
      </c>
      <c r="H28" s="5">
        <v>43841</v>
      </c>
      <c r="I28" t="s">
        <v>43</v>
      </c>
      <c r="J28" t="s">
        <v>60</v>
      </c>
      <c r="K28" t="s">
        <v>461</v>
      </c>
      <c r="L28">
        <v>2016</v>
      </c>
      <c r="M28" s="5">
        <v>43746</v>
      </c>
      <c r="N28" s="8">
        <f t="shared" si="0"/>
        <v>2019</v>
      </c>
      <c r="O28" t="s">
        <v>870</v>
      </c>
      <c r="P28">
        <v>2</v>
      </c>
      <c r="Q28" t="s">
        <v>61</v>
      </c>
    </row>
    <row r="29" spans="1:17" x14ac:dyDescent="0.25">
      <c r="C29" t="s">
        <v>548</v>
      </c>
      <c r="D29" t="s">
        <v>694</v>
      </c>
      <c r="E29" s="6" t="s">
        <v>874</v>
      </c>
      <c r="F29" t="s">
        <v>62</v>
      </c>
      <c r="G29" t="s">
        <v>63</v>
      </c>
      <c r="H29" s="5">
        <v>43839</v>
      </c>
      <c r="I29" t="s">
        <v>30</v>
      </c>
      <c r="J29" t="s">
        <v>436</v>
      </c>
      <c r="K29" t="s">
        <v>64</v>
      </c>
      <c r="L29">
        <v>2013</v>
      </c>
      <c r="M29" s="5">
        <v>43739</v>
      </c>
      <c r="N29" s="8">
        <f t="shared" si="0"/>
        <v>2019</v>
      </c>
      <c r="O29" t="s">
        <v>870</v>
      </c>
      <c r="P29">
        <v>2</v>
      </c>
      <c r="Q29" t="s">
        <v>65</v>
      </c>
    </row>
    <row r="30" spans="1:17" x14ac:dyDescent="0.25">
      <c r="C30" t="s">
        <v>549</v>
      </c>
      <c r="D30" t="s">
        <v>695</v>
      </c>
      <c r="E30" s="6" t="s">
        <v>874</v>
      </c>
      <c r="F30" t="s">
        <v>66</v>
      </c>
      <c r="G30" t="s">
        <v>39</v>
      </c>
      <c r="H30" s="5">
        <v>43838</v>
      </c>
      <c r="I30" t="s">
        <v>67</v>
      </c>
      <c r="J30" t="s">
        <v>437</v>
      </c>
      <c r="K30" t="s">
        <v>462</v>
      </c>
      <c r="L30">
        <v>2015</v>
      </c>
      <c r="M30" s="5">
        <v>43800</v>
      </c>
      <c r="N30" s="8">
        <f t="shared" si="0"/>
        <v>2019</v>
      </c>
      <c r="O30" t="s">
        <v>870</v>
      </c>
      <c r="P30">
        <v>2</v>
      </c>
      <c r="Q30" t="s">
        <v>68</v>
      </c>
    </row>
    <row r="31" spans="1:17" x14ac:dyDescent="0.25">
      <c r="C31" t="s">
        <v>550</v>
      </c>
      <c r="D31" t="s">
        <v>696</v>
      </c>
      <c r="E31" s="6" t="s">
        <v>874</v>
      </c>
      <c r="F31" t="s">
        <v>69</v>
      </c>
      <c r="G31" t="s">
        <v>42</v>
      </c>
      <c r="H31" s="5">
        <v>43838</v>
      </c>
      <c r="I31" t="s">
        <v>43</v>
      </c>
      <c r="J31" t="s">
        <v>60</v>
      </c>
      <c r="K31" t="s">
        <v>463</v>
      </c>
      <c r="L31">
        <v>2017</v>
      </c>
      <c r="M31" s="5">
        <v>43239</v>
      </c>
      <c r="N31" s="8">
        <f t="shared" si="0"/>
        <v>2018</v>
      </c>
      <c r="O31" t="s">
        <v>870</v>
      </c>
      <c r="P31">
        <v>1</v>
      </c>
      <c r="Q31" t="s">
        <v>70</v>
      </c>
    </row>
    <row r="32" spans="1:17" x14ac:dyDescent="0.25">
      <c r="C32" t="s">
        <v>551</v>
      </c>
      <c r="D32" t="s">
        <v>697</v>
      </c>
      <c r="E32" s="6" t="s">
        <v>874</v>
      </c>
      <c r="F32" t="s">
        <v>71</v>
      </c>
      <c r="G32" t="s">
        <v>49</v>
      </c>
      <c r="H32" s="5">
        <v>43832</v>
      </c>
      <c r="I32" t="s">
        <v>43</v>
      </c>
      <c r="J32" t="s">
        <v>446</v>
      </c>
      <c r="K32" t="s">
        <v>458</v>
      </c>
      <c r="L32">
        <v>2017</v>
      </c>
      <c r="M32" s="5">
        <v>43353</v>
      </c>
      <c r="N32" s="8">
        <f t="shared" si="0"/>
        <v>2018</v>
      </c>
      <c r="O32" t="s">
        <v>870</v>
      </c>
      <c r="P32">
        <v>2</v>
      </c>
      <c r="Q32" t="s">
        <v>72</v>
      </c>
    </row>
    <row r="33" spans="3:17" x14ac:dyDescent="0.25">
      <c r="C33" t="s">
        <v>552</v>
      </c>
      <c r="D33" t="s">
        <v>698</v>
      </c>
      <c r="E33" s="6" t="s">
        <v>874</v>
      </c>
      <c r="F33" t="s">
        <v>73</v>
      </c>
      <c r="G33" t="s">
        <v>74</v>
      </c>
      <c r="H33" s="5">
        <v>43830</v>
      </c>
      <c r="I33" t="s">
        <v>30</v>
      </c>
      <c r="J33" t="s">
        <v>433</v>
      </c>
      <c r="K33" t="s">
        <v>464</v>
      </c>
      <c r="L33">
        <v>2018</v>
      </c>
      <c r="M33" s="5">
        <v>43820</v>
      </c>
      <c r="N33" s="8">
        <f t="shared" si="0"/>
        <v>2019</v>
      </c>
      <c r="O33" t="s">
        <v>870</v>
      </c>
      <c r="P33">
        <v>2</v>
      </c>
      <c r="Q33" t="s">
        <v>75</v>
      </c>
    </row>
    <row r="34" spans="3:17" x14ac:dyDescent="0.25">
      <c r="C34" t="s">
        <v>554</v>
      </c>
      <c r="D34" t="s">
        <v>700</v>
      </c>
      <c r="E34" s="6" t="s">
        <v>874</v>
      </c>
      <c r="F34" t="s">
        <v>77</v>
      </c>
      <c r="G34" t="s">
        <v>49</v>
      </c>
      <c r="H34" s="5">
        <v>43823</v>
      </c>
      <c r="I34" t="s">
        <v>43</v>
      </c>
      <c r="J34" t="s">
        <v>446</v>
      </c>
      <c r="K34" t="s">
        <v>458</v>
      </c>
      <c r="L34">
        <v>2018</v>
      </c>
      <c r="M34" s="5">
        <v>43754</v>
      </c>
      <c r="N34" s="8">
        <f t="shared" si="0"/>
        <v>2019</v>
      </c>
      <c r="O34" t="s">
        <v>870</v>
      </c>
      <c r="P34">
        <v>2</v>
      </c>
      <c r="Q34" t="s">
        <v>78</v>
      </c>
    </row>
    <row r="35" spans="3:17" x14ac:dyDescent="0.25">
      <c r="C35" t="s">
        <v>555</v>
      </c>
      <c r="D35" t="s">
        <v>701</v>
      </c>
      <c r="E35" s="6" t="s">
        <v>874</v>
      </c>
      <c r="F35" t="s">
        <v>79</v>
      </c>
      <c r="G35" t="s">
        <v>80</v>
      </c>
      <c r="H35" s="5">
        <v>43822</v>
      </c>
      <c r="I35" t="s">
        <v>81</v>
      </c>
      <c r="J35" t="s">
        <v>435</v>
      </c>
      <c r="K35" t="s">
        <v>466</v>
      </c>
      <c r="L35">
        <v>2018</v>
      </c>
      <c r="M35" s="5">
        <v>43787</v>
      </c>
      <c r="N35" s="8">
        <f t="shared" si="0"/>
        <v>2019</v>
      </c>
      <c r="O35" t="s">
        <v>870</v>
      </c>
      <c r="P35">
        <v>1</v>
      </c>
      <c r="Q35" t="s">
        <v>82</v>
      </c>
    </row>
    <row r="36" spans="3:17" x14ac:dyDescent="0.25">
      <c r="C36" t="s">
        <v>560</v>
      </c>
      <c r="D36" t="s">
        <v>706</v>
      </c>
      <c r="E36" s="6" t="s">
        <v>874</v>
      </c>
      <c r="F36" t="s">
        <v>92</v>
      </c>
      <c r="G36" t="s">
        <v>74</v>
      </c>
      <c r="H36" s="5">
        <v>43809</v>
      </c>
      <c r="I36" t="s">
        <v>43</v>
      </c>
      <c r="J36" t="s">
        <v>446</v>
      </c>
      <c r="K36" t="s">
        <v>458</v>
      </c>
      <c r="L36">
        <v>2015</v>
      </c>
      <c r="M36" s="5">
        <v>43636</v>
      </c>
      <c r="N36" s="8">
        <f t="shared" si="0"/>
        <v>2019</v>
      </c>
      <c r="O36" t="s">
        <v>870</v>
      </c>
      <c r="P36">
        <v>1</v>
      </c>
      <c r="Q36" t="s">
        <v>93</v>
      </c>
    </row>
    <row r="37" spans="3:17" x14ac:dyDescent="0.25">
      <c r="C37" t="s">
        <v>561</v>
      </c>
      <c r="D37" t="s">
        <v>707</v>
      </c>
      <c r="E37" s="6" t="s">
        <v>874</v>
      </c>
      <c r="F37" t="s">
        <v>94</v>
      </c>
      <c r="G37" t="s">
        <v>95</v>
      </c>
      <c r="H37" s="5">
        <v>43808</v>
      </c>
      <c r="I37" t="s">
        <v>43</v>
      </c>
      <c r="J37" t="s">
        <v>60</v>
      </c>
      <c r="K37" t="s">
        <v>468</v>
      </c>
      <c r="L37">
        <v>2019</v>
      </c>
      <c r="M37" s="5">
        <v>43805</v>
      </c>
      <c r="N37" s="8">
        <f t="shared" si="0"/>
        <v>2019</v>
      </c>
      <c r="O37" t="s">
        <v>870</v>
      </c>
      <c r="P37">
        <v>1</v>
      </c>
      <c r="Q37" t="s">
        <v>96</v>
      </c>
    </row>
    <row r="38" spans="3:17" x14ac:dyDescent="0.25">
      <c r="C38" t="s">
        <v>562</v>
      </c>
      <c r="D38" t="s">
        <v>708</v>
      </c>
      <c r="E38" s="6" t="s">
        <v>874</v>
      </c>
      <c r="F38" t="s">
        <v>97</v>
      </c>
      <c r="G38" t="s">
        <v>98</v>
      </c>
      <c r="H38" s="5">
        <v>43806</v>
      </c>
      <c r="I38" t="s">
        <v>43</v>
      </c>
      <c r="J38" t="s">
        <v>60</v>
      </c>
      <c r="K38" t="s">
        <v>460</v>
      </c>
      <c r="L38">
        <v>2012</v>
      </c>
      <c r="M38" s="5">
        <v>41613</v>
      </c>
      <c r="N38" s="8">
        <f t="shared" si="0"/>
        <v>2013</v>
      </c>
      <c r="O38" t="s">
        <v>870</v>
      </c>
      <c r="P38">
        <v>2</v>
      </c>
      <c r="Q38" t="s">
        <v>99</v>
      </c>
    </row>
    <row r="39" spans="3:17" x14ac:dyDescent="0.25">
      <c r="C39" t="s">
        <v>563</v>
      </c>
      <c r="D39" t="s">
        <v>709</v>
      </c>
      <c r="E39" s="6" t="s">
        <v>874</v>
      </c>
      <c r="F39" t="s">
        <v>100</v>
      </c>
      <c r="G39" t="s">
        <v>36</v>
      </c>
      <c r="H39" s="5">
        <v>43803</v>
      </c>
      <c r="I39" t="s">
        <v>30</v>
      </c>
      <c r="J39" t="s">
        <v>854</v>
      </c>
      <c r="K39" t="s">
        <v>469</v>
      </c>
      <c r="L39">
        <v>2016</v>
      </c>
      <c r="M39" s="5">
        <v>43781</v>
      </c>
      <c r="N39" s="8">
        <f t="shared" si="0"/>
        <v>2019</v>
      </c>
      <c r="O39" t="s">
        <v>870</v>
      </c>
      <c r="P39">
        <v>1</v>
      </c>
      <c r="Q39" t="s">
        <v>101</v>
      </c>
    </row>
    <row r="40" spans="3:17" x14ac:dyDescent="0.25">
      <c r="C40" t="s">
        <v>564</v>
      </c>
      <c r="D40" t="s">
        <v>710</v>
      </c>
      <c r="E40" s="6" t="s">
        <v>874</v>
      </c>
      <c r="F40" t="s">
        <v>102</v>
      </c>
      <c r="G40" t="s">
        <v>103</v>
      </c>
      <c r="H40" s="5">
        <v>43802</v>
      </c>
      <c r="I40" t="s">
        <v>43</v>
      </c>
      <c r="J40" t="s">
        <v>446</v>
      </c>
      <c r="K40" t="s">
        <v>458</v>
      </c>
      <c r="L40">
        <v>2015</v>
      </c>
      <c r="M40" s="5">
        <v>43801</v>
      </c>
      <c r="N40" s="8">
        <f t="shared" si="0"/>
        <v>2019</v>
      </c>
      <c r="O40" t="s">
        <v>870</v>
      </c>
      <c r="P40">
        <v>1</v>
      </c>
      <c r="Q40" t="s">
        <v>104</v>
      </c>
    </row>
    <row r="41" spans="3:17" x14ac:dyDescent="0.25">
      <c r="C41" t="s">
        <v>565</v>
      </c>
      <c r="D41" t="s">
        <v>711</v>
      </c>
      <c r="E41" s="6" t="s">
        <v>874</v>
      </c>
      <c r="F41" t="s">
        <v>105</v>
      </c>
      <c r="G41" t="s">
        <v>52</v>
      </c>
      <c r="H41" s="5">
        <v>43801</v>
      </c>
      <c r="I41" t="s">
        <v>43</v>
      </c>
      <c r="J41" t="s">
        <v>60</v>
      </c>
      <c r="K41" t="s">
        <v>460</v>
      </c>
      <c r="L41">
        <v>2017</v>
      </c>
      <c r="M41" s="5">
        <v>43592</v>
      </c>
      <c r="N41" s="8">
        <f t="shared" si="0"/>
        <v>2019</v>
      </c>
      <c r="O41" t="s">
        <v>870</v>
      </c>
      <c r="P41">
        <v>2</v>
      </c>
      <c r="Q41" t="s">
        <v>106</v>
      </c>
    </row>
    <row r="42" spans="3:17" x14ac:dyDescent="0.25">
      <c r="C42" t="s">
        <v>566</v>
      </c>
      <c r="D42" t="s">
        <v>712</v>
      </c>
      <c r="E42" s="6" t="s">
        <v>874</v>
      </c>
      <c r="F42" t="s">
        <v>107</v>
      </c>
      <c r="G42" t="s">
        <v>49</v>
      </c>
      <c r="H42" s="5">
        <v>43798</v>
      </c>
      <c r="I42" t="s">
        <v>67</v>
      </c>
      <c r="J42" t="s">
        <v>437</v>
      </c>
      <c r="K42" t="s">
        <v>470</v>
      </c>
      <c r="L42">
        <v>2018</v>
      </c>
      <c r="M42" s="5">
        <v>43764</v>
      </c>
      <c r="N42" s="8">
        <f t="shared" si="0"/>
        <v>2019</v>
      </c>
      <c r="O42" t="s">
        <v>870</v>
      </c>
      <c r="P42">
        <v>4</v>
      </c>
      <c r="Q42" t="s">
        <v>108</v>
      </c>
    </row>
    <row r="43" spans="3:17" x14ac:dyDescent="0.25">
      <c r="C43" t="s">
        <v>567</v>
      </c>
      <c r="D43" t="s">
        <v>713</v>
      </c>
      <c r="E43" s="6" t="s">
        <v>874</v>
      </c>
      <c r="F43" t="s">
        <v>109</v>
      </c>
      <c r="G43" t="s">
        <v>110</v>
      </c>
      <c r="H43" s="5">
        <v>43795</v>
      </c>
      <c r="I43" t="s">
        <v>43</v>
      </c>
      <c r="J43" t="s">
        <v>446</v>
      </c>
      <c r="K43" t="s">
        <v>57</v>
      </c>
      <c r="L43">
        <v>2015</v>
      </c>
      <c r="M43" s="5">
        <v>43716</v>
      </c>
      <c r="N43" s="8">
        <f t="shared" si="0"/>
        <v>2019</v>
      </c>
      <c r="O43" t="s">
        <v>870</v>
      </c>
      <c r="P43">
        <v>3</v>
      </c>
      <c r="Q43" t="s">
        <v>111</v>
      </c>
    </row>
    <row r="44" spans="3:17" x14ac:dyDescent="0.25">
      <c r="C44" t="s">
        <v>568</v>
      </c>
      <c r="D44" t="s">
        <v>554</v>
      </c>
      <c r="E44" s="6" t="s">
        <v>874</v>
      </c>
      <c r="F44" t="s">
        <v>112</v>
      </c>
      <c r="G44" t="s">
        <v>55</v>
      </c>
      <c r="H44" s="5">
        <v>43795</v>
      </c>
      <c r="I44" t="s">
        <v>67</v>
      </c>
      <c r="J44" t="s">
        <v>437</v>
      </c>
      <c r="K44" t="s">
        <v>471</v>
      </c>
      <c r="L44">
        <v>2016</v>
      </c>
      <c r="M44" s="5">
        <v>43738</v>
      </c>
      <c r="N44" s="8">
        <f t="shared" si="0"/>
        <v>2019</v>
      </c>
      <c r="O44" t="s">
        <v>870</v>
      </c>
      <c r="P44">
        <v>1</v>
      </c>
      <c r="Q44" t="s">
        <v>113</v>
      </c>
    </row>
    <row r="45" spans="3:17" x14ac:dyDescent="0.25">
      <c r="C45" t="s">
        <v>570</v>
      </c>
      <c r="D45" t="s">
        <v>715</v>
      </c>
      <c r="E45" s="6" t="s">
        <v>874</v>
      </c>
      <c r="F45" t="s">
        <v>117</v>
      </c>
      <c r="G45" t="s">
        <v>98</v>
      </c>
      <c r="H45" s="5">
        <v>43794</v>
      </c>
      <c r="I45" t="s">
        <v>30</v>
      </c>
      <c r="J45" t="s">
        <v>436</v>
      </c>
      <c r="K45" t="s">
        <v>472</v>
      </c>
      <c r="L45">
        <v>2018</v>
      </c>
      <c r="M45" s="5">
        <v>43711</v>
      </c>
      <c r="N45" s="8">
        <f t="shared" si="0"/>
        <v>2019</v>
      </c>
      <c r="O45" t="s">
        <v>870</v>
      </c>
      <c r="P45">
        <v>2</v>
      </c>
      <c r="Q45" t="s">
        <v>118</v>
      </c>
    </row>
    <row r="46" spans="3:17" x14ac:dyDescent="0.25">
      <c r="C46" t="s">
        <v>571</v>
      </c>
      <c r="D46" t="s">
        <v>716</v>
      </c>
      <c r="E46" s="6" t="s">
        <v>874</v>
      </c>
      <c r="F46" t="s">
        <v>119</v>
      </c>
      <c r="G46" t="s">
        <v>120</v>
      </c>
      <c r="H46" s="5">
        <v>43794</v>
      </c>
      <c r="I46" t="s">
        <v>43</v>
      </c>
      <c r="J46" t="s">
        <v>446</v>
      </c>
      <c r="K46" t="s">
        <v>57</v>
      </c>
      <c r="L46">
        <v>2013</v>
      </c>
      <c r="M46" s="5">
        <v>43756</v>
      </c>
      <c r="N46" s="8">
        <f t="shared" si="0"/>
        <v>2019</v>
      </c>
      <c r="O46" t="s">
        <v>870</v>
      </c>
      <c r="P46">
        <v>1</v>
      </c>
      <c r="Q46" t="s">
        <v>121</v>
      </c>
    </row>
    <row r="47" spans="3:17" x14ac:dyDescent="0.25">
      <c r="C47" t="s">
        <v>572</v>
      </c>
      <c r="D47" t="s">
        <v>717</v>
      </c>
      <c r="E47" s="6" t="s">
        <v>874</v>
      </c>
      <c r="F47" t="s">
        <v>122</v>
      </c>
      <c r="G47" t="s">
        <v>36</v>
      </c>
      <c r="H47" s="5">
        <v>43790</v>
      </c>
      <c r="I47" t="s">
        <v>123</v>
      </c>
      <c r="J47" t="s">
        <v>438</v>
      </c>
      <c r="K47" t="s">
        <v>473</v>
      </c>
      <c r="L47">
        <v>2008</v>
      </c>
      <c r="M47" s="5">
        <v>43746</v>
      </c>
      <c r="N47" s="8">
        <f t="shared" si="0"/>
        <v>2019</v>
      </c>
      <c r="O47" t="s">
        <v>870</v>
      </c>
      <c r="P47">
        <v>1</v>
      </c>
      <c r="Q47" t="s">
        <v>124</v>
      </c>
    </row>
    <row r="48" spans="3:17" x14ac:dyDescent="0.25">
      <c r="C48" t="s">
        <v>539</v>
      </c>
      <c r="D48" t="s">
        <v>718</v>
      </c>
      <c r="E48" s="6" t="s">
        <v>874</v>
      </c>
      <c r="F48" t="s">
        <v>125</v>
      </c>
      <c r="G48" t="s">
        <v>126</v>
      </c>
      <c r="H48" s="5">
        <v>43788</v>
      </c>
      <c r="I48" t="s">
        <v>43</v>
      </c>
      <c r="J48" t="s">
        <v>446</v>
      </c>
      <c r="K48" t="s">
        <v>474</v>
      </c>
      <c r="L48">
        <v>2015</v>
      </c>
      <c r="M48" s="5">
        <v>43741</v>
      </c>
      <c r="N48" s="8">
        <f t="shared" si="0"/>
        <v>2019</v>
      </c>
      <c r="O48" t="s">
        <v>870</v>
      </c>
      <c r="P48">
        <v>1</v>
      </c>
      <c r="Q48" t="s">
        <v>127</v>
      </c>
    </row>
    <row r="49" spans="3:17" x14ac:dyDescent="0.25">
      <c r="C49" t="s">
        <v>573</v>
      </c>
      <c r="D49" t="s">
        <v>719</v>
      </c>
      <c r="E49" s="6" t="s">
        <v>874</v>
      </c>
      <c r="F49" t="s">
        <v>128</v>
      </c>
      <c r="G49" t="s">
        <v>129</v>
      </c>
      <c r="H49" s="5">
        <v>43782</v>
      </c>
      <c r="I49" t="s">
        <v>67</v>
      </c>
      <c r="J49" t="s">
        <v>437</v>
      </c>
      <c r="K49" t="s">
        <v>462</v>
      </c>
      <c r="L49">
        <v>2015</v>
      </c>
      <c r="M49" s="5">
        <v>43778</v>
      </c>
      <c r="N49" s="8">
        <f t="shared" si="0"/>
        <v>2019</v>
      </c>
      <c r="O49" t="s">
        <v>870</v>
      </c>
      <c r="P49">
        <v>1</v>
      </c>
      <c r="Q49" t="s">
        <v>130</v>
      </c>
    </row>
    <row r="50" spans="3:17" x14ac:dyDescent="0.25">
      <c r="C50" t="s">
        <v>574</v>
      </c>
      <c r="D50" t="s">
        <v>720</v>
      </c>
      <c r="E50" s="6" t="s">
        <v>874</v>
      </c>
      <c r="F50" t="s">
        <v>131</v>
      </c>
      <c r="G50" t="s">
        <v>132</v>
      </c>
      <c r="H50" s="5">
        <v>43782</v>
      </c>
      <c r="I50" t="s">
        <v>43</v>
      </c>
      <c r="J50" t="s">
        <v>446</v>
      </c>
      <c r="K50" t="s">
        <v>475</v>
      </c>
      <c r="L50">
        <v>2017</v>
      </c>
      <c r="M50" s="5">
        <v>43734</v>
      </c>
      <c r="N50" s="8">
        <f t="shared" si="0"/>
        <v>2019</v>
      </c>
      <c r="O50" t="s">
        <v>870</v>
      </c>
      <c r="P50">
        <v>1</v>
      </c>
      <c r="Q50" t="s">
        <v>133</v>
      </c>
    </row>
    <row r="51" spans="3:17" x14ac:dyDescent="0.25">
      <c r="C51" t="s">
        <v>575</v>
      </c>
      <c r="D51" t="s">
        <v>721</v>
      </c>
      <c r="E51" s="6" t="s">
        <v>874</v>
      </c>
      <c r="F51" t="s">
        <v>134</v>
      </c>
      <c r="G51" t="s">
        <v>135</v>
      </c>
      <c r="H51" s="5">
        <v>43773</v>
      </c>
      <c r="I51" t="s">
        <v>43</v>
      </c>
      <c r="J51" t="s">
        <v>446</v>
      </c>
      <c r="K51" t="s">
        <v>475</v>
      </c>
      <c r="L51">
        <v>2015</v>
      </c>
      <c r="M51" s="5">
        <v>43336</v>
      </c>
      <c r="N51" s="8">
        <f t="shared" si="0"/>
        <v>2018</v>
      </c>
      <c r="O51" t="s">
        <v>870</v>
      </c>
      <c r="P51">
        <v>1</v>
      </c>
      <c r="Q51" t="s">
        <v>136</v>
      </c>
    </row>
    <row r="52" spans="3:17" x14ac:dyDescent="0.25">
      <c r="C52" t="s">
        <v>576</v>
      </c>
      <c r="D52" t="s">
        <v>722</v>
      </c>
      <c r="E52" s="6" t="s">
        <v>874</v>
      </c>
      <c r="F52" t="s">
        <v>137</v>
      </c>
      <c r="G52" t="s">
        <v>63</v>
      </c>
      <c r="H52" s="5">
        <v>43771</v>
      </c>
      <c r="I52" t="s">
        <v>67</v>
      </c>
      <c r="J52" t="s">
        <v>437</v>
      </c>
      <c r="K52" t="s">
        <v>476</v>
      </c>
      <c r="L52">
        <v>2018</v>
      </c>
      <c r="M52" s="5">
        <v>43770</v>
      </c>
      <c r="N52" s="8">
        <f t="shared" si="0"/>
        <v>2019</v>
      </c>
      <c r="O52" t="s">
        <v>870</v>
      </c>
      <c r="P52">
        <v>1</v>
      </c>
      <c r="Q52" t="s">
        <v>138</v>
      </c>
    </row>
    <row r="53" spans="3:17" x14ac:dyDescent="0.25">
      <c r="C53" t="s">
        <v>577</v>
      </c>
      <c r="D53" t="s">
        <v>723</v>
      </c>
      <c r="E53" s="6" t="s">
        <v>874</v>
      </c>
      <c r="F53" t="s">
        <v>139</v>
      </c>
      <c r="G53" t="s">
        <v>140</v>
      </c>
      <c r="H53" s="5">
        <v>43763</v>
      </c>
      <c r="I53" t="s">
        <v>30</v>
      </c>
      <c r="J53" t="s">
        <v>436</v>
      </c>
      <c r="K53" t="s">
        <v>477</v>
      </c>
      <c r="L53">
        <v>2019</v>
      </c>
      <c r="M53" s="5">
        <v>43762</v>
      </c>
      <c r="N53" s="8">
        <f t="shared" si="0"/>
        <v>2019</v>
      </c>
      <c r="O53" t="s">
        <v>870</v>
      </c>
      <c r="P53">
        <v>1</v>
      </c>
      <c r="Q53" t="s">
        <v>141</v>
      </c>
    </row>
    <row r="54" spans="3:17" x14ac:dyDescent="0.25">
      <c r="C54" t="s">
        <v>560</v>
      </c>
      <c r="D54" t="s">
        <v>724</v>
      </c>
      <c r="E54" s="6" t="s">
        <v>874</v>
      </c>
      <c r="F54" t="s">
        <v>142</v>
      </c>
      <c r="G54" t="s">
        <v>143</v>
      </c>
      <c r="H54" s="5">
        <v>43761</v>
      </c>
      <c r="I54" t="s">
        <v>43</v>
      </c>
      <c r="J54" t="s">
        <v>446</v>
      </c>
      <c r="K54" t="s">
        <v>458</v>
      </c>
      <c r="L54">
        <v>2014</v>
      </c>
      <c r="M54" s="5">
        <v>43757</v>
      </c>
      <c r="N54" s="8">
        <f t="shared" si="0"/>
        <v>2019</v>
      </c>
      <c r="O54" t="s">
        <v>870</v>
      </c>
      <c r="P54">
        <v>1</v>
      </c>
      <c r="Q54" t="s">
        <v>144</v>
      </c>
    </row>
    <row r="55" spans="3:17" x14ac:dyDescent="0.25">
      <c r="C55" t="s">
        <v>578</v>
      </c>
      <c r="D55" t="s">
        <v>725</v>
      </c>
      <c r="E55" s="6" t="s">
        <v>874</v>
      </c>
      <c r="F55" t="s">
        <v>112</v>
      </c>
      <c r="G55" t="s">
        <v>55</v>
      </c>
      <c r="H55" s="5">
        <v>43754</v>
      </c>
      <c r="I55" t="s">
        <v>67</v>
      </c>
      <c r="J55" t="s">
        <v>437</v>
      </c>
      <c r="K55" t="s">
        <v>471</v>
      </c>
      <c r="L55">
        <v>2016</v>
      </c>
      <c r="M55" s="5">
        <v>43738</v>
      </c>
      <c r="N55" s="8">
        <f t="shared" si="0"/>
        <v>2019</v>
      </c>
      <c r="O55" t="s">
        <v>870</v>
      </c>
      <c r="P55">
        <v>1</v>
      </c>
      <c r="Q55" t="s">
        <v>113</v>
      </c>
    </row>
    <row r="56" spans="3:17" x14ac:dyDescent="0.25">
      <c r="C56" t="s">
        <v>569</v>
      </c>
      <c r="D56" t="s">
        <v>727</v>
      </c>
      <c r="E56" s="6" t="s">
        <v>874</v>
      </c>
      <c r="F56" t="s">
        <v>147</v>
      </c>
      <c r="G56" t="s">
        <v>42</v>
      </c>
      <c r="H56" s="5">
        <v>43734</v>
      </c>
      <c r="I56" t="s">
        <v>43</v>
      </c>
      <c r="J56" t="s">
        <v>446</v>
      </c>
      <c r="K56" t="s">
        <v>57</v>
      </c>
      <c r="L56">
        <v>2014</v>
      </c>
      <c r="M56" s="5">
        <v>43702</v>
      </c>
      <c r="N56" s="8">
        <f t="shared" si="0"/>
        <v>2019</v>
      </c>
      <c r="O56" t="s">
        <v>870</v>
      </c>
      <c r="P56">
        <v>1</v>
      </c>
      <c r="Q56" t="s">
        <v>148</v>
      </c>
    </row>
    <row r="57" spans="3:17" x14ac:dyDescent="0.25">
      <c r="C57" t="s">
        <v>580</v>
      </c>
      <c r="D57" t="s">
        <v>728</v>
      </c>
      <c r="E57" s="6" t="s">
        <v>874</v>
      </c>
      <c r="F57" t="s">
        <v>149</v>
      </c>
      <c r="G57" t="s">
        <v>150</v>
      </c>
      <c r="H57" s="5">
        <v>43717</v>
      </c>
      <c r="I57" t="s">
        <v>43</v>
      </c>
      <c r="J57" t="s">
        <v>60</v>
      </c>
      <c r="K57" t="s">
        <v>151</v>
      </c>
      <c r="L57">
        <v>2014</v>
      </c>
      <c r="M57" s="5">
        <v>43716</v>
      </c>
      <c r="N57" s="8">
        <f t="shared" si="0"/>
        <v>2019</v>
      </c>
      <c r="O57" t="s">
        <v>870</v>
      </c>
      <c r="P57">
        <v>3</v>
      </c>
      <c r="Q57" t="s">
        <v>152</v>
      </c>
    </row>
    <row r="58" spans="3:17" x14ac:dyDescent="0.25">
      <c r="C58" t="s">
        <v>581</v>
      </c>
      <c r="D58" t="s">
        <v>729</v>
      </c>
      <c r="E58" s="6" t="s">
        <v>874</v>
      </c>
      <c r="F58" t="s">
        <v>153</v>
      </c>
      <c r="G58" t="s">
        <v>154</v>
      </c>
      <c r="H58" s="5">
        <v>43713</v>
      </c>
      <c r="I58" t="s">
        <v>34</v>
      </c>
      <c r="J58" t="s">
        <v>431</v>
      </c>
      <c r="K58" t="s">
        <v>455</v>
      </c>
      <c r="L58">
        <v>2016</v>
      </c>
      <c r="M58" s="5">
        <v>43449</v>
      </c>
      <c r="N58" s="8">
        <f t="shared" si="0"/>
        <v>2018</v>
      </c>
      <c r="O58" t="s">
        <v>870</v>
      </c>
      <c r="P58">
        <v>3</v>
      </c>
      <c r="Q58" t="s">
        <v>155</v>
      </c>
    </row>
    <row r="59" spans="3:17" x14ac:dyDescent="0.25">
      <c r="C59" t="s">
        <v>546</v>
      </c>
      <c r="D59" t="s">
        <v>730</v>
      </c>
      <c r="E59" s="6" t="s">
        <v>874</v>
      </c>
      <c r="F59" t="s">
        <v>156</v>
      </c>
      <c r="G59" t="s">
        <v>49</v>
      </c>
      <c r="H59" s="5">
        <v>43713</v>
      </c>
      <c r="I59" t="s">
        <v>43</v>
      </c>
      <c r="J59" t="s">
        <v>60</v>
      </c>
      <c r="K59" t="s">
        <v>478</v>
      </c>
      <c r="L59">
        <v>2014</v>
      </c>
      <c r="M59" s="5">
        <v>43702</v>
      </c>
      <c r="N59" s="8">
        <f t="shared" si="0"/>
        <v>2019</v>
      </c>
      <c r="O59" t="s">
        <v>870</v>
      </c>
      <c r="P59">
        <v>3</v>
      </c>
      <c r="Q59" t="s">
        <v>157</v>
      </c>
    </row>
    <row r="60" spans="3:17" x14ac:dyDescent="0.25">
      <c r="C60" t="s">
        <v>582</v>
      </c>
      <c r="D60" t="s">
        <v>731</v>
      </c>
      <c r="E60" s="6" t="s">
        <v>874</v>
      </c>
      <c r="F60" t="s">
        <v>158</v>
      </c>
      <c r="G60" t="s">
        <v>95</v>
      </c>
      <c r="H60" s="5">
        <v>43713</v>
      </c>
      <c r="I60" t="s">
        <v>43</v>
      </c>
      <c r="J60" t="s">
        <v>60</v>
      </c>
      <c r="K60" t="s">
        <v>460</v>
      </c>
      <c r="L60">
        <v>2019</v>
      </c>
      <c r="M60" s="5">
        <v>43706</v>
      </c>
      <c r="N60" s="8">
        <f t="shared" si="0"/>
        <v>2019</v>
      </c>
      <c r="O60" t="s">
        <v>870</v>
      </c>
      <c r="P60">
        <v>3</v>
      </c>
      <c r="Q60" t="s">
        <v>159</v>
      </c>
    </row>
    <row r="61" spans="3:17" x14ac:dyDescent="0.25">
      <c r="C61" t="s">
        <v>583</v>
      </c>
      <c r="D61" t="s">
        <v>732</v>
      </c>
      <c r="E61" s="6" t="s">
        <v>874</v>
      </c>
      <c r="F61" t="s">
        <v>160</v>
      </c>
      <c r="G61" t="s">
        <v>63</v>
      </c>
      <c r="H61" s="5">
        <v>43713</v>
      </c>
      <c r="I61" t="s">
        <v>161</v>
      </c>
      <c r="J61" t="s">
        <v>439</v>
      </c>
      <c r="K61" t="s">
        <v>479</v>
      </c>
      <c r="L61">
        <v>2013</v>
      </c>
      <c r="M61" s="5">
        <v>43547</v>
      </c>
      <c r="N61" s="8">
        <f t="shared" si="0"/>
        <v>2019</v>
      </c>
      <c r="O61" t="s">
        <v>870</v>
      </c>
      <c r="P61">
        <v>1</v>
      </c>
      <c r="Q61" t="s">
        <v>162</v>
      </c>
    </row>
    <row r="62" spans="3:17" x14ac:dyDescent="0.25">
      <c r="C62" t="s">
        <v>584</v>
      </c>
      <c r="D62" t="s">
        <v>733</v>
      </c>
      <c r="E62" s="6" t="s">
        <v>874</v>
      </c>
      <c r="F62" t="s">
        <v>163</v>
      </c>
      <c r="G62" t="s">
        <v>164</v>
      </c>
      <c r="H62" s="5">
        <v>43704</v>
      </c>
      <c r="I62" t="s">
        <v>30</v>
      </c>
      <c r="J62" t="s">
        <v>436</v>
      </c>
      <c r="K62" t="s">
        <v>480</v>
      </c>
      <c r="L62">
        <v>2013</v>
      </c>
      <c r="M62" s="5">
        <v>42770</v>
      </c>
      <c r="N62" s="8">
        <f t="shared" si="0"/>
        <v>2017</v>
      </c>
      <c r="O62" t="s">
        <v>870</v>
      </c>
      <c r="P62">
        <v>1</v>
      </c>
      <c r="Q62" t="s">
        <v>165</v>
      </c>
    </row>
    <row r="63" spans="3:17" x14ac:dyDescent="0.25">
      <c r="C63" t="s">
        <v>548</v>
      </c>
      <c r="D63" t="s">
        <v>734</v>
      </c>
      <c r="E63" s="6" t="s">
        <v>874</v>
      </c>
      <c r="F63" t="s">
        <v>166</v>
      </c>
      <c r="G63" t="s">
        <v>103</v>
      </c>
      <c r="H63" s="5">
        <v>43699</v>
      </c>
      <c r="I63" t="s">
        <v>67</v>
      </c>
      <c r="J63" t="s">
        <v>437</v>
      </c>
      <c r="K63" t="s">
        <v>481</v>
      </c>
      <c r="L63">
        <v>2016</v>
      </c>
      <c r="M63" s="5">
        <v>43693</v>
      </c>
      <c r="N63" s="8">
        <f t="shared" si="0"/>
        <v>2019</v>
      </c>
      <c r="O63" t="s">
        <v>870</v>
      </c>
      <c r="P63">
        <v>3</v>
      </c>
      <c r="Q63" t="s">
        <v>167</v>
      </c>
    </row>
    <row r="64" spans="3:17" x14ac:dyDescent="0.25">
      <c r="C64" t="s">
        <v>585</v>
      </c>
      <c r="D64" t="s">
        <v>735</v>
      </c>
      <c r="E64" s="6" t="s">
        <v>874</v>
      </c>
      <c r="F64" t="s">
        <v>168</v>
      </c>
      <c r="G64" t="s">
        <v>98</v>
      </c>
      <c r="H64" s="5">
        <v>43698</v>
      </c>
      <c r="I64" t="s">
        <v>43</v>
      </c>
      <c r="J64" t="s">
        <v>60</v>
      </c>
      <c r="K64" t="s">
        <v>461</v>
      </c>
      <c r="L64">
        <v>2015</v>
      </c>
      <c r="M64" s="5">
        <v>43697</v>
      </c>
      <c r="N64" s="8">
        <f t="shared" si="0"/>
        <v>2019</v>
      </c>
      <c r="O64" t="s">
        <v>870</v>
      </c>
      <c r="P64">
        <v>1</v>
      </c>
      <c r="Q64" t="s">
        <v>169</v>
      </c>
    </row>
    <row r="65" spans="3:17" x14ac:dyDescent="0.25">
      <c r="C65" t="s">
        <v>586</v>
      </c>
      <c r="D65" t="s">
        <v>736</v>
      </c>
      <c r="E65" s="6" t="s">
        <v>874</v>
      </c>
      <c r="F65" t="s">
        <v>170</v>
      </c>
      <c r="G65" t="s">
        <v>74</v>
      </c>
      <c r="H65" s="5">
        <v>43696</v>
      </c>
      <c r="I65" t="s">
        <v>43</v>
      </c>
      <c r="J65" t="s">
        <v>446</v>
      </c>
      <c r="K65" t="s">
        <v>458</v>
      </c>
      <c r="L65">
        <v>2016</v>
      </c>
      <c r="M65" s="5">
        <v>43310</v>
      </c>
      <c r="N65" s="8">
        <f t="shared" si="0"/>
        <v>2018</v>
      </c>
      <c r="O65" t="s">
        <v>870</v>
      </c>
      <c r="P65">
        <v>2</v>
      </c>
      <c r="Q65" t="s">
        <v>171</v>
      </c>
    </row>
    <row r="66" spans="3:17" x14ac:dyDescent="0.25">
      <c r="C66" t="s">
        <v>560</v>
      </c>
      <c r="D66" t="s">
        <v>738</v>
      </c>
      <c r="E66" s="6" t="s">
        <v>874</v>
      </c>
      <c r="F66" t="s">
        <v>174</v>
      </c>
      <c r="G66" t="s">
        <v>132</v>
      </c>
      <c r="H66" s="5">
        <v>43691</v>
      </c>
      <c r="I66" t="s">
        <v>43</v>
      </c>
      <c r="J66" t="s">
        <v>446</v>
      </c>
      <c r="K66" t="s">
        <v>483</v>
      </c>
      <c r="L66">
        <v>2018</v>
      </c>
      <c r="M66" s="5">
        <v>43382</v>
      </c>
      <c r="N66" s="8">
        <f t="shared" si="0"/>
        <v>2018</v>
      </c>
      <c r="O66" t="s">
        <v>870</v>
      </c>
      <c r="P66">
        <v>3</v>
      </c>
      <c r="Q66" t="s">
        <v>175</v>
      </c>
    </row>
    <row r="67" spans="3:17" x14ac:dyDescent="0.25">
      <c r="C67" t="s">
        <v>560</v>
      </c>
      <c r="D67" t="s">
        <v>739</v>
      </c>
      <c r="E67" s="6" t="s">
        <v>874</v>
      </c>
      <c r="F67" t="s">
        <v>176</v>
      </c>
      <c r="G67" t="s">
        <v>52</v>
      </c>
      <c r="H67" s="5">
        <v>43689</v>
      </c>
      <c r="I67" t="s">
        <v>43</v>
      </c>
      <c r="J67" t="s">
        <v>434</v>
      </c>
      <c r="K67" t="s">
        <v>484</v>
      </c>
      <c r="L67">
        <v>2016</v>
      </c>
      <c r="M67" s="5">
        <v>43559</v>
      </c>
      <c r="N67" s="8">
        <f t="shared" ref="N67:N130" si="1">YEAR(M67)</f>
        <v>2019</v>
      </c>
      <c r="O67" t="s">
        <v>870</v>
      </c>
      <c r="P67">
        <v>1</v>
      </c>
      <c r="Q67" t="s">
        <v>177</v>
      </c>
    </row>
    <row r="68" spans="3:17" x14ac:dyDescent="0.25">
      <c r="C68" t="s">
        <v>588</v>
      </c>
      <c r="D68" t="s">
        <v>740</v>
      </c>
      <c r="E68" s="6" t="s">
        <v>874</v>
      </c>
      <c r="F68" t="s">
        <v>178</v>
      </c>
      <c r="G68" t="s">
        <v>42</v>
      </c>
      <c r="H68" s="5">
        <v>43684</v>
      </c>
      <c r="I68" t="s">
        <v>43</v>
      </c>
      <c r="J68" t="s">
        <v>446</v>
      </c>
      <c r="K68" t="s">
        <v>458</v>
      </c>
      <c r="L68">
        <v>2016</v>
      </c>
      <c r="M68" s="5">
        <v>43532</v>
      </c>
      <c r="N68" s="8">
        <f t="shared" si="1"/>
        <v>2019</v>
      </c>
      <c r="O68" t="s">
        <v>870</v>
      </c>
      <c r="P68">
        <v>2</v>
      </c>
      <c r="Q68" t="s">
        <v>179</v>
      </c>
    </row>
    <row r="69" spans="3:17" x14ac:dyDescent="0.25">
      <c r="C69" t="s">
        <v>574</v>
      </c>
      <c r="D69" t="s">
        <v>741</v>
      </c>
      <c r="E69" s="6" t="s">
        <v>874</v>
      </c>
      <c r="F69" t="s">
        <v>180</v>
      </c>
      <c r="G69" t="s">
        <v>42</v>
      </c>
      <c r="H69" s="5">
        <v>43684</v>
      </c>
      <c r="I69" t="s">
        <v>43</v>
      </c>
      <c r="J69" t="s">
        <v>446</v>
      </c>
      <c r="K69" t="s">
        <v>483</v>
      </c>
      <c r="L69">
        <v>2015</v>
      </c>
      <c r="M69" s="5">
        <v>43679</v>
      </c>
      <c r="N69" s="8">
        <f t="shared" si="1"/>
        <v>2019</v>
      </c>
      <c r="O69" t="s">
        <v>870</v>
      </c>
      <c r="P69">
        <v>1</v>
      </c>
      <c r="Q69" t="s">
        <v>181</v>
      </c>
    </row>
    <row r="70" spans="3:17" x14ac:dyDescent="0.25">
      <c r="C70" t="s">
        <v>589</v>
      </c>
      <c r="D70" t="s">
        <v>742</v>
      </c>
      <c r="E70" s="6" t="s">
        <v>874</v>
      </c>
      <c r="F70" t="s">
        <v>182</v>
      </c>
      <c r="G70" t="s">
        <v>52</v>
      </c>
      <c r="H70" s="5">
        <v>43684</v>
      </c>
      <c r="I70" t="s">
        <v>43</v>
      </c>
      <c r="J70" t="s">
        <v>446</v>
      </c>
      <c r="K70" t="s">
        <v>458</v>
      </c>
      <c r="L70">
        <v>2015</v>
      </c>
      <c r="M70" s="5">
        <v>43194</v>
      </c>
      <c r="N70" s="8">
        <f t="shared" si="1"/>
        <v>2018</v>
      </c>
      <c r="O70" t="s">
        <v>870</v>
      </c>
      <c r="P70">
        <v>1</v>
      </c>
      <c r="Q70" t="s">
        <v>183</v>
      </c>
    </row>
    <row r="71" spans="3:17" x14ac:dyDescent="0.25">
      <c r="C71" t="s">
        <v>590</v>
      </c>
      <c r="D71" t="s">
        <v>743</v>
      </c>
      <c r="E71" s="6" t="s">
        <v>874</v>
      </c>
      <c r="F71" t="s">
        <v>184</v>
      </c>
      <c r="G71" t="s">
        <v>185</v>
      </c>
      <c r="H71" s="5">
        <v>43683</v>
      </c>
      <c r="I71" t="s">
        <v>43</v>
      </c>
      <c r="J71" t="s">
        <v>60</v>
      </c>
      <c r="K71" t="s">
        <v>485</v>
      </c>
      <c r="L71">
        <v>2019</v>
      </c>
      <c r="M71" s="5">
        <v>43644</v>
      </c>
      <c r="N71" s="8">
        <f t="shared" si="1"/>
        <v>2019</v>
      </c>
      <c r="O71" t="s">
        <v>870</v>
      </c>
      <c r="P71">
        <v>1</v>
      </c>
      <c r="Q71" t="s">
        <v>186</v>
      </c>
    </row>
    <row r="72" spans="3:17" x14ac:dyDescent="0.25">
      <c r="C72" t="s">
        <v>591</v>
      </c>
      <c r="D72" t="s">
        <v>744</v>
      </c>
      <c r="E72" s="6" t="s">
        <v>874</v>
      </c>
      <c r="F72" t="s">
        <v>187</v>
      </c>
      <c r="G72" t="s">
        <v>188</v>
      </c>
      <c r="H72" s="5">
        <v>43676</v>
      </c>
      <c r="I72" t="s">
        <v>43</v>
      </c>
      <c r="J72" t="s">
        <v>60</v>
      </c>
      <c r="K72" t="s">
        <v>151</v>
      </c>
      <c r="L72">
        <v>2017</v>
      </c>
      <c r="M72" s="5">
        <v>43627</v>
      </c>
      <c r="N72" s="8">
        <f t="shared" si="1"/>
        <v>2019</v>
      </c>
      <c r="O72" t="s">
        <v>870</v>
      </c>
      <c r="P72">
        <v>3</v>
      </c>
      <c r="Q72" t="s">
        <v>189</v>
      </c>
    </row>
    <row r="73" spans="3:17" x14ac:dyDescent="0.25">
      <c r="C73" t="s">
        <v>569</v>
      </c>
      <c r="D73" t="s">
        <v>745</v>
      </c>
      <c r="E73" s="6" t="s">
        <v>874</v>
      </c>
      <c r="F73" t="s">
        <v>190</v>
      </c>
      <c r="G73" t="s">
        <v>29</v>
      </c>
      <c r="H73" s="5">
        <v>43676</v>
      </c>
      <c r="I73" t="s">
        <v>43</v>
      </c>
      <c r="J73" t="s">
        <v>434</v>
      </c>
      <c r="K73" t="s">
        <v>486</v>
      </c>
      <c r="L73">
        <v>2016</v>
      </c>
      <c r="M73" s="5">
        <v>43475</v>
      </c>
      <c r="N73" s="8">
        <f t="shared" si="1"/>
        <v>2019</v>
      </c>
      <c r="O73" t="s">
        <v>870</v>
      </c>
      <c r="P73">
        <v>1</v>
      </c>
      <c r="Q73" t="s">
        <v>191</v>
      </c>
    </row>
    <row r="74" spans="3:17" x14ac:dyDescent="0.25">
      <c r="C74" t="s">
        <v>557</v>
      </c>
      <c r="D74" t="s">
        <v>746</v>
      </c>
      <c r="E74" s="6" t="s">
        <v>874</v>
      </c>
      <c r="F74" t="s">
        <v>192</v>
      </c>
      <c r="G74" t="s">
        <v>193</v>
      </c>
      <c r="H74" s="5">
        <v>43675</v>
      </c>
      <c r="I74" t="s">
        <v>43</v>
      </c>
      <c r="J74" t="s">
        <v>60</v>
      </c>
      <c r="K74" t="s">
        <v>485</v>
      </c>
      <c r="L74">
        <v>2016</v>
      </c>
      <c r="M74" s="5">
        <v>43664</v>
      </c>
      <c r="N74" s="8">
        <f t="shared" si="1"/>
        <v>2019</v>
      </c>
      <c r="O74" t="s">
        <v>870</v>
      </c>
      <c r="P74">
        <v>1</v>
      </c>
      <c r="Q74" t="s">
        <v>194</v>
      </c>
    </row>
    <row r="75" spans="3:17" x14ac:dyDescent="0.25">
      <c r="C75" t="s">
        <v>588</v>
      </c>
      <c r="D75" t="s">
        <v>747</v>
      </c>
      <c r="E75" s="6" t="s">
        <v>874</v>
      </c>
      <c r="F75" t="s">
        <v>195</v>
      </c>
      <c r="G75" t="s">
        <v>110</v>
      </c>
      <c r="H75" s="5">
        <v>43675</v>
      </c>
      <c r="I75" t="s">
        <v>67</v>
      </c>
      <c r="J75" t="s">
        <v>437</v>
      </c>
      <c r="K75" t="s">
        <v>487</v>
      </c>
      <c r="L75">
        <v>2013</v>
      </c>
      <c r="M75" s="5">
        <v>43619</v>
      </c>
      <c r="N75" s="8">
        <f t="shared" si="1"/>
        <v>2019</v>
      </c>
      <c r="O75" t="s">
        <v>870</v>
      </c>
      <c r="P75">
        <v>1</v>
      </c>
      <c r="Q75" t="s">
        <v>196</v>
      </c>
    </row>
    <row r="76" spans="3:17" x14ac:dyDescent="0.25">
      <c r="C76" t="s">
        <v>592</v>
      </c>
      <c r="D76" t="s">
        <v>748</v>
      </c>
      <c r="E76" s="6" t="s">
        <v>874</v>
      </c>
      <c r="F76" t="s">
        <v>197</v>
      </c>
      <c r="G76" t="s">
        <v>80</v>
      </c>
      <c r="H76" s="5">
        <v>43675</v>
      </c>
      <c r="I76" t="s">
        <v>43</v>
      </c>
      <c r="J76" t="s">
        <v>440</v>
      </c>
      <c r="K76" t="s">
        <v>488</v>
      </c>
      <c r="L76">
        <v>2014</v>
      </c>
      <c r="M76" s="5">
        <v>43651</v>
      </c>
      <c r="N76" s="8">
        <f t="shared" si="1"/>
        <v>2019</v>
      </c>
      <c r="O76" t="s">
        <v>870</v>
      </c>
      <c r="P76">
        <v>1</v>
      </c>
      <c r="Q76" t="s">
        <v>198</v>
      </c>
    </row>
    <row r="77" spans="3:17" x14ac:dyDescent="0.25">
      <c r="C77" t="s">
        <v>593</v>
      </c>
      <c r="D77" t="s">
        <v>749</v>
      </c>
      <c r="E77" s="6" t="s">
        <v>874</v>
      </c>
      <c r="F77" t="s">
        <v>199</v>
      </c>
      <c r="G77" t="s">
        <v>150</v>
      </c>
      <c r="H77" s="5">
        <v>43675</v>
      </c>
      <c r="I77" t="s">
        <v>43</v>
      </c>
      <c r="J77" t="s">
        <v>440</v>
      </c>
      <c r="K77" t="s">
        <v>489</v>
      </c>
      <c r="L77">
        <v>2014</v>
      </c>
      <c r="M77" s="5">
        <v>43672</v>
      </c>
      <c r="N77" s="8">
        <f t="shared" si="1"/>
        <v>2019</v>
      </c>
      <c r="O77" t="s">
        <v>870</v>
      </c>
      <c r="P77">
        <v>1</v>
      </c>
      <c r="Q77" t="s">
        <v>200</v>
      </c>
    </row>
    <row r="78" spans="3:17" x14ac:dyDescent="0.25">
      <c r="C78" t="s">
        <v>594</v>
      </c>
      <c r="D78" t="s">
        <v>750</v>
      </c>
      <c r="E78" s="6" t="s">
        <v>874</v>
      </c>
      <c r="F78" t="s">
        <v>201</v>
      </c>
      <c r="G78" t="s">
        <v>140</v>
      </c>
      <c r="H78" s="5">
        <v>43673</v>
      </c>
      <c r="I78" t="s">
        <v>43</v>
      </c>
      <c r="J78" t="s">
        <v>446</v>
      </c>
      <c r="K78" t="s">
        <v>460</v>
      </c>
      <c r="L78">
        <v>2014</v>
      </c>
      <c r="M78" s="5">
        <v>43635</v>
      </c>
      <c r="N78" s="8">
        <f t="shared" si="1"/>
        <v>2019</v>
      </c>
      <c r="O78" t="s">
        <v>870</v>
      </c>
      <c r="P78">
        <v>2</v>
      </c>
      <c r="Q78" t="s">
        <v>202</v>
      </c>
    </row>
    <row r="79" spans="3:17" x14ac:dyDescent="0.25">
      <c r="C79" t="s">
        <v>595</v>
      </c>
      <c r="D79" t="s">
        <v>751</v>
      </c>
      <c r="E79" s="6" t="s">
        <v>874</v>
      </c>
      <c r="F79" t="s">
        <v>203</v>
      </c>
      <c r="G79" t="s">
        <v>129</v>
      </c>
      <c r="H79" s="5">
        <v>43673</v>
      </c>
      <c r="I79" t="s">
        <v>43</v>
      </c>
      <c r="J79" t="s">
        <v>60</v>
      </c>
      <c r="K79" t="s">
        <v>461</v>
      </c>
      <c r="L79">
        <v>2015</v>
      </c>
      <c r="M79" s="5">
        <v>43653</v>
      </c>
      <c r="N79" s="8">
        <f t="shared" si="1"/>
        <v>2019</v>
      </c>
      <c r="O79" t="s">
        <v>870</v>
      </c>
      <c r="P79">
        <v>3</v>
      </c>
      <c r="Q79" t="s">
        <v>204</v>
      </c>
    </row>
    <row r="80" spans="3:17" x14ac:dyDescent="0.25">
      <c r="C80" t="s">
        <v>596</v>
      </c>
      <c r="D80" t="s">
        <v>752</v>
      </c>
      <c r="E80" s="6" t="s">
        <v>874</v>
      </c>
      <c r="F80" t="s">
        <v>205</v>
      </c>
      <c r="G80" t="s">
        <v>90</v>
      </c>
      <c r="H80" s="5">
        <v>43672</v>
      </c>
      <c r="I80" t="s">
        <v>43</v>
      </c>
      <c r="J80" t="s">
        <v>446</v>
      </c>
      <c r="K80" t="s">
        <v>474</v>
      </c>
      <c r="L80">
        <v>2017</v>
      </c>
      <c r="M80" s="5">
        <v>43662</v>
      </c>
      <c r="N80" s="8">
        <f t="shared" si="1"/>
        <v>2019</v>
      </c>
      <c r="O80" t="s">
        <v>870</v>
      </c>
      <c r="P80">
        <v>2</v>
      </c>
      <c r="Q80" t="s">
        <v>206</v>
      </c>
    </row>
    <row r="81" spans="3:17" x14ac:dyDescent="0.25">
      <c r="C81" t="s">
        <v>597</v>
      </c>
      <c r="D81" t="s">
        <v>753</v>
      </c>
      <c r="E81" s="6" t="s">
        <v>874</v>
      </c>
      <c r="F81" t="s">
        <v>207</v>
      </c>
      <c r="G81" t="s">
        <v>132</v>
      </c>
      <c r="H81" s="5">
        <v>43671</v>
      </c>
      <c r="I81" t="s">
        <v>43</v>
      </c>
      <c r="J81" t="s">
        <v>60</v>
      </c>
      <c r="K81" t="s">
        <v>461</v>
      </c>
      <c r="L81">
        <v>2014</v>
      </c>
      <c r="M81" s="5">
        <v>43649</v>
      </c>
      <c r="N81" s="8">
        <f t="shared" si="1"/>
        <v>2019</v>
      </c>
      <c r="O81" t="s">
        <v>870</v>
      </c>
      <c r="P81">
        <v>2</v>
      </c>
      <c r="Q81" t="s">
        <v>208</v>
      </c>
    </row>
    <row r="82" spans="3:17" x14ac:dyDescent="0.25">
      <c r="C82" t="s">
        <v>546</v>
      </c>
      <c r="D82" t="s">
        <v>754</v>
      </c>
      <c r="E82" s="6" t="s">
        <v>874</v>
      </c>
      <c r="F82" t="s">
        <v>209</v>
      </c>
      <c r="G82" t="s">
        <v>52</v>
      </c>
      <c r="H82" s="5">
        <v>43671</v>
      </c>
      <c r="I82" t="s">
        <v>43</v>
      </c>
      <c r="J82" t="s">
        <v>446</v>
      </c>
      <c r="K82" t="s">
        <v>458</v>
      </c>
      <c r="L82">
        <v>2013</v>
      </c>
      <c r="M82" s="5">
        <v>43654</v>
      </c>
      <c r="N82" s="8">
        <f t="shared" si="1"/>
        <v>2019</v>
      </c>
      <c r="O82" t="s">
        <v>870</v>
      </c>
      <c r="P82">
        <v>3</v>
      </c>
      <c r="Q82" t="s">
        <v>210</v>
      </c>
    </row>
    <row r="83" spans="3:17" x14ac:dyDescent="0.25">
      <c r="C83" t="s">
        <v>599</v>
      </c>
      <c r="D83" t="s">
        <v>756</v>
      </c>
      <c r="E83" s="6" t="s">
        <v>874</v>
      </c>
      <c r="F83" t="s">
        <v>212</v>
      </c>
      <c r="G83" t="s">
        <v>52</v>
      </c>
      <c r="H83" s="5">
        <v>43671</v>
      </c>
      <c r="I83" t="s">
        <v>43</v>
      </c>
      <c r="J83" t="s">
        <v>434</v>
      </c>
      <c r="K83" t="s">
        <v>490</v>
      </c>
      <c r="L83">
        <v>2015</v>
      </c>
      <c r="M83" s="5">
        <v>43517</v>
      </c>
      <c r="N83" s="8">
        <f t="shared" si="1"/>
        <v>2019</v>
      </c>
      <c r="O83" t="s">
        <v>870</v>
      </c>
      <c r="P83">
        <v>1</v>
      </c>
      <c r="Q83" t="s">
        <v>213</v>
      </c>
    </row>
    <row r="84" spans="3:17" x14ac:dyDescent="0.25">
      <c r="C84" t="s">
        <v>579</v>
      </c>
      <c r="D84" t="s">
        <v>757</v>
      </c>
      <c r="E84" s="6" t="s">
        <v>874</v>
      </c>
      <c r="F84" t="s">
        <v>214</v>
      </c>
      <c r="G84" t="s">
        <v>150</v>
      </c>
      <c r="H84" s="5">
        <v>43671</v>
      </c>
      <c r="I84" t="s">
        <v>43</v>
      </c>
      <c r="J84" t="s">
        <v>446</v>
      </c>
      <c r="K84" t="s">
        <v>57</v>
      </c>
      <c r="L84">
        <v>2014</v>
      </c>
      <c r="M84" s="5">
        <v>43656</v>
      </c>
      <c r="N84" s="8">
        <f t="shared" si="1"/>
        <v>2019</v>
      </c>
      <c r="O84" t="s">
        <v>870</v>
      </c>
      <c r="P84">
        <v>5</v>
      </c>
      <c r="Q84" t="s">
        <v>75</v>
      </c>
    </row>
    <row r="85" spans="3:17" x14ac:dyDescent="0.25">
      <c r="C85" t="s">
        <v>600</v>
      </c>
      <c r="D85" t="s">
        <v>758</v>
      </c>
      <c r="E85" s="6" t="s">
        <v>874</v>
      </c>
      <c r="F85" t="s">
        <v>215</v>
      </c>
      <c r="G85" t="s">
        <v>36</v>
      </c>
      <c r="H85" s="5">
        <v>43670</v>
      </c>
      <c r="I85" t="s">
        <v>43</v>
      </c>
      <c r="J85" t="s">
        <v>60</v>
      </c>
      <c r="K85" t="s">
        <v>461</v>
      </c>
      <c r="L85">
        <v>2016</v>
      </c>
      <c r="M85" s="5">
        <v>43645</v>
      </c>
      <c r="N85" s="8">
        <f t="shared" si="1"/>
        <v>2019</v>
      </c>
      <c r="O85" t="s">
        <v>870</v>
      </c>
      <c r="P85">
        <v>3</v>
      </c>
      <c r="Q85" t="s">
        <v>216</v>
      </c>
    </row>
    <row r="86" spans="3:17" x14ac:dyDescent="0.25">
      <c r="C86" t="s">
        <v>601</v>
      </c>
      <c r="D86" t="s">
        <v>759</v>
      </c>
      <c r="E86" s="6" t="s">
        <v>874</v>
      </c>
      <c r="F86" t="s">
        <v>217</v>
      </c>
      <c r="G86" t="s">
        <v>95</v>
      </c>
      <c r="H86" s="5">
        <v>43670</v>
      </c>
      <c r="I86" t="s">
        <v>43</v>
      </c>
      <c r="J86" t="s">
        <v>446</v>
      </c>
      <c r="K86" t="s">
        <v>483</v>
      </c>
      <c r="L86">
        <v>2015</v>
      </c>
      <c r="M86" s="5">
        <v>42363</v>
      </c>
      <c r="N86" s="8">
        <f t="shared" si="1"/>
        <v>2015</v>
      </c>
      <c r="O86" t="s">
        <v>870</v>
      </c>
      <c r="P86">
        <v>2</v>
      </c>
      <c r="Q86" t="s">
        <v>218</v>
      </c>
    </row>
    <row r="87" spans="3:17" x14ac:dyDescent="0.25">
      <c r="C87" t="s">
        <v>602</v>
      </c>
      <c r="D87" t="s">
        <v>760</v>
      </c>
      <c r="E87" s="6" t="s">
        <v>874</v>
      </c>
      <c r="F87" t="s">
        <v>44</v>
      </c>
      <c r="G87" t="s">
        <v>42</v>
      </c>
      <c r="H87" s="5">
        <v>43670</v>
      </c>
      <c r="I87" t="s">
        <v>43</v>
      </c>
      <c r="J87" t="s">
        <v>446</v>
      </c>
      <c r="K87" t="s">
        <v>483</v>
      </c>
      <c r="L87">
        <v>2017</v>
      </c>
      <c r="M87" s="5">
        <v>43661</v>
      </c>
      <c r="N87" s="8">
        <f t="shared" si="1"/>
        <v>2019</v>
      </c>
      <c r="O87" t="s">
        <v>870</v>
      </c>
      <c r="P87">
        <v>1</v>
      </c>
      <c r="Q87" t="s">
        <v>219</v>
      </c>
    </row>
    <row r="88" spans="3:17" x14ac:dyDescent="0.25">
      <c r="C88" t="s">
        <v>603</v>
      </c>
      <c r="D88" t="s">
        <v>761</v>
      </c>
      <c r="E88" s="6" t="s">
        <v>874</v>
      </c>
      <c r="F88" t="s">
        <v>220</v>
      </c>
      <c r="G88" t="s">
        <v>42</v>
      </c>
      <c r="H88" s="5">
        <v>43663</v>
      </c>
      <c r="I88" t="s">
        <v>43</v>
      </c>
      <c r="J88" t="s">
        <v>432</v>
      </c>
      <c r="K88" t="s">
        <v>491</v>
      </c>
      <c r="L88">
        <v>2018</v>
      </c>
      <c r="M88" s="5">
        <v>43179</v>
      </c>
      <c r="N88" s="8">
        <f t="shared" si="1"/>
        <v>2018</v>
      </c>
      <c r="O88" t="s">
        <v>870</v>
      </c>
      <c r="P88">
        <v>1</v>
      </c>
      <c r="Q88" t="s">
        <v>221</v>
      </c>
    </row>
    <row r="89" spans="3:17" x14ac:dyDescent="0.25">
      <c r="C89" t="s">
        <v>569</v>
      </c>
      <c r="D89" t="s">
        <v>762</v>
      </c>
      <c r="E89" s="6" t="s">
        <v>874</v>
      </c>
      <c r="F89" t="s">
        <v>222</v>
      </c>
      <c r="G89" t="s">
        <v>36</v>
      </c>
      <c r="H89" s="5">
        <v>43662</v>
      </c>
      <c r="I89" t="s">
        <v>43</v>
      </c>
      <c r="J89" t="s">
        <v>432</v>
      </c>
      <c r="K89" t="s">
        <v>492</v>
      </c>
      <c r="L89">
        <v>2018</v>
      </c>
      <c r="M89" s="5">
        <v>43632</v>
      </c>
      <c r="N89" s="8">
        <f t="shared" si="1"/>
        <v>2019</v>
      </c>
      <c r="O89" t="s">
        <v>870</v>
      </c>
      <c r="P89">
        <v>4</v>
      </c>
      <c r="Q89" t="s">
        <v>223</v>
      </c>
    </row>
    <row r="90" spans="3:17" x14ac:dyDescent="0.25">
      <c r="C90" t="s">
        <v>604</v>
      </c>
      <c r="D90" t="s">
        <v>554</v>
      </c>
      <c r="E90" s="6" t="s">
        <v>874</v>
      </c>
      <c r="F90" t="s">
        <v>224</v>
      </c>
      <c r="G90" t="s">
        <v>36</v>
      </c>
      <c r="H90" s="5">
        <v>43654</v>
      </c>
      <c r="I90" t="s">
        <v>225</v>
      </c>
      <c r="J90" t="s">
        <v>855</v>
      </c>
      <c r="K90" t="s">
        <v>493</v>
      </c>
      <c r="L90">
        <v>2019</v>
      </c>
      <c r="M90" s="5">
        <v>43651</v>
      </c>
      <c r="N90" s="8">
        <f t="shared" si="1"/>
        <v>2019</v>
      </c>
      <c r="O90" t="s">
        <v>870</v>
      </c>
      <c r="P90">
        <v>1</v>
      </c>
      <c r="Q90" t="s">
        <v>226</v>
      </c>
    </row>
    <row r="91" spans="3:17" x14ac:dyDescent="0.25">
      <c r="C91" t="s">
        <v>605</v>
      </c>
      <c r="D91" t="s">
        <v>763</v>
      </c>
      <c r="E91" s="6" t="s">
        <v>874</v>
      </c>
      <c r="F91" t="s">
        <v>227</v>
      </c>
      <c r="G91" t="s">
        <v>55</v>
      </c>
      <c r="H91" s="5">
        <v>43650</v>
      </c>
      <c r="I91" t="s">
        <v>43</v>
      </c>
      <c r="J91" t="s">
        <v>446</v>
      </c>
      <c r="K91" t="s">
        <v>458</v>
      </c>
      <c r="L91">
        <v>2011</v>
      </c>
      <c r="M91" s="5">
        <v>43605</v>
      </c>
      <c r="N91" s="8">
        <f t="shared" si="1"/>
        <v>2019</v>
      </c>
      <c r="O91" t="s">
        <v>870</v>
      </c>
      <c r="P91">
        <v>1</v>
      </c>
      <c r="Q91" t="s">
        <v>228</v>
      </c>
    </row>
    <row r="92" spans="3:17" x14ac:dyDescent="0.25">
      <c r="C92" t="s">
        <v>594</v>
      </c>
      <c r="D92" t="s">
        <v>764</v>
      </c>
      <c r="E92" s="6" t="s">
        <v>874</v>
      </c>
      <c r="F92" t="s">
        <v>229</v>
      </c>
      <c r="G92" t="s">
        <v>230</v>
      </c>
      <c r="H92" s="5">
        <v>43641</v>
      </c>
      <c r="I92" t="s">
        <v>231</v>
      </c>
      <c r="J92" t="s">
        <v>441</v>
      </c>
      <c r="K92" t="s">
        <v>494</v>
      </c>
      <c r="L92">
        <v>2019</v>
      </c>
      <c r="M92" s="5">
        <v>43608</v>
      </c>
      <c r="N92" s="8">
        <f t="shared" si="1"/>
        <v>2019</v>
      </c>
      <c r="O92" t="s">
        <v>870</v>
      </c>
      <c r="P92">
        <v>1</v>
      </c>
      <c r="Q92" t="s">
        <v>232</v>
      </c>
    </row>
    <row r="93" spans="3:17" x14ac:dyDescent="0.25">
      <c r="C93" t="s">
        <v>594</v>
      </c>
      <c r="D93" t="s">
        <v>764</v>
      </c>
      <c r="E93" s="6" t="s">
        <v>874</v>
      </c>
      <c r="F93" t="s">
        <v>229</v>
      </c>
      <c r="G93" t="s">
        <v>230</v>
      </c>
      <c r="H93" s="5">
        <v>43641</v>
      </c>
      <c r="I93" t="s">
        <v>233</v>
      </c>
      <c r="J93" t="s">
        <v>441</v>
      </c>
      <c r="K93" t="s">
        <v>494</v>
      </c>
      <c r="L93">
        <v>2019</v>
      </c>
      <c r="M93" s="5">
        <v>43608</v>
      </c>
      <c r="N93" s="8">
        <f t="shared" si="1"/>
        <v>2019</v>
      </c>
      <c r="O93" t="s">
        <v>870</v>
      </c>
      <c r="P93">
        <v>1</v>
      </c>
      <c r="Q93" t="s">
        <v>232</v>
      </c>
    </row>
    <row r="94" spans="3:17" x14ac:dyDescent="0.25">
      <c r="C94" t="s">
        <v>606</v>
      </c>
      <c r="D94" t="s">
        <v>765</v>
      </c>
      <c r="E94" s="6" t="s">
        <v>874</v>
      </c>
      <c r="F94" t="s">
        <v>234</v>
      </c>
      <c r="G94" t="s">
        <v>235</v>
      </c>
      <c r="H94" s="5">
        <v>43628</v>
      </c>
      <c r="I94" t="s">
        <v>30</v>
      </c>
      <c r="J94" t="s">
        <v>436</v>
      </c>
      <c r="K94" t="s">
        <v>495</v>
      </c>
      <c r="L94">
        <v>2018</v>
      </c>
      <c r="M94" s="5">
        <v>43357</v>
      </c>
      <c r="N94" s="8">
        <f t="shared" si="1"/>
        <v>2018</v>
      </c>
      <c r="O94" t="s">
        <v>870</v>
      </c>
      <c r="P94">
        <v>2</v>
      </c>
      <c r="Q94" t="s">
        <v>236</v>
      </c>
    </row>
    <row r="95" spans="3:17" x14ac:dyDescent="0.25">
      <c r="C95" t="s">
        <v>607</v>
      </c>
      <c r="D95" t="s">
        <v>766</v>
      </c>
      <c r="E95" s="6" t="s">
        <v>874</v>
      </c>
      <c r="F95" t="s">
        <v>237</v>
      </c>
      <c r="G95" t="s">
        <v>238</v>
      </c>
      <c r="H95" s="5">
        <v>43626</v>
      </c>
      <c r="I95" t="s">
        <v>30</v>
      </c>
      <c r="J95" t="s">
        <v>433</v>
      </c>
      <c r="K95" t="s">
        <v>496</v>
      </c>
      <c r="L95">
        <v>2014</v>
      </c>
      <c r="M95" s="5">
        <v>43593</v>
      </c>
      <c r="N95" s="8">
        <f t="shared" si="1"/>
        <v>2019</v>
      </c>
      <c r="O95" t="s">
        <v>870</v>
      </c>
      <c r="P95">
        <v>2</v>
      </c>
      <c r="Q95" t="s">
        <v>239</v>
      </c>
    </row>
    <row r="96" spans="3:17" x14ac:dyDescent="0.25">
      <c r="C96" t="s">
        <v>608</v>
      </c>
      <c r="D96" t="s">
        <v>767</v>
      </c>
      <c r="E96" s="6" t="s">
        <v>874</v>
      </c>
      <c r="F96" t="s">
        <v>240</v>
      </c>
      <c r="G96" t="s">
        <v>42</v>
      </c>
      <c r="H96" s="5">
        <v>43621</v>
      </c>
      <c r="I96" t="s">
        <v>43</v>
      </c>
      <c r="J96" t="s">
        <v>446</v>
      </c>
      <c r="K96" t="s">
        <v>458</v>
      </c>
      <c r="L96">
        <v>2018</v>
      </c>
      <c r="M96" s="5">
        <v>43468</v>
      </c>
      <c r="N96" s="8">
        <f t="shared" si="1"/>
        <v>2019</v>
      </c>
      <c r="O96" t="s">
        <v>870</v>
      </c>
      <c r="P96">
        <v>1</v>
      </c>
      <c r="Q96" t="s">
        <v>241</v>
      </c>
    </row>
    <row r="97" spans="3:17" x14ac:dyDescent="0.25">
      <c r="C97" t="s">
        <v>609</v>
      </c>
      <c r="D97" t="s">
        <v>768</v>
      </c>
      <c r="E97" s="6" t="s">
        <v>874</v>
      </c>
      <c r="F97" t="s">
        <v>62</v>
      </c>
      <c r="G97" t="s">
        <v>63</v>
      </c>
      <c r="H97" s="5">
        <v>43621</v>
      </c>
      <c r="I97" t="s">
        <v>43</v>
      </c>
      <c r="J97" t="s">
        <v>442</v>
      </c>
      <c r="K97" t="s">
        <v>497</v>
      </c>
      <c r="L97">
        <v>2018</v>
      </c>
      <c r="M97" s="5">
        <v>43589</v>
      </c>
      <c r="N97" s="8">
        <f t="shared" si="1"/>
        <v>2019</v>
      </c>
      <c r="O97" t="s">
        <v>870</v>
      </c>
      <c r="P97">
        <v>1</v>
      </c>
      <c r="Q97" t="s">
        <v>242</v>
      </c>
    </row>
    <row r="98" spans="3:17" x14ac:dyDescent="0.25">
      <c r="C98" t="s">
        <v>581</v>
      </c>
      <c r="D98" t="s">
        <v>769</v>
      </c>
      <c r="E98" s="6" t="s">
        <v>874</v>
      </c>
      <c r="F98" t="s">
        <v>234</v>
      </c>
      <c r="G98" t="s">
        <v>235</v>
      </c>
      <c r="H98" s="5">
        <v>43614</v>
      </c>
      <c r="I98" t="s">
        <v>30</v>
      </c>
      <c r="J98" t="s">
        <v>436</v>
      </c>
      <c r="K98" t="s">
        <v>495</v>
      </c>
      <c r="L98">
        <v>2018</v>
      </c>
      <c r="M98" s="5">
        <v>43357</v>
      </c>
      <c r="N98" s="8">
        <f t="shared" si="1"/>
        <v>2018</v>
      </c>
      <c r="O98" t="s">
        <v>870</v>
      </c>
      <c r="P98">
        <v>2</v>
      </c>
      <c r="Q98" t="s">
        <v>228</v>
      </c>
    </row>
    <row r="99" spans="3:17" x14ac:dyDescent="0.25">
      <c r="C99" t="s">
        <v>557</v>
      </c>
      <c r="D99" t="s">
        <v>770</v>
      </c>
      <c r="E99" s="6" t="s">
        <v>874</v>
      </c>
      <c r="F99" t="s">
        <v>203</v>
      </c>
      <c r="G99" t="s">
        <v>129</v>
      </c>
      <c r="H99" s="5">
        <v>43607</v>
      </c>
      <c r="I99" t="s">
        <v>43</v>
      </c>
      <c r="J99" t="s">
        <v>446</v>
      </c>
      <c r="K99" t="s">
        <v>458</v>
      </c>
      <c r="L99">
        <v>2017</v>
      </c>
      <c r="M99" s="5">
        <v>43578</v>
      </c>
      <c r="N99" s="8">
        <f t="shared" si="1"/>
        <v>2019</v>
      </c>
      <c r="O99" t="s">
        <v>870</v>
      </c>
      <c r="P99">
        <v>1</v>
      </c>
      <c r="Q99" t="s">
        <v>228</v>
      </c>
    </row>
    <row r="100" spans="3:17" x14ac:dyDescent="0.25">
      <c r="C100" t="s">
        <v>611</v>
      </c>
      <c r="D100" t="s">
        <v>772</v>
      </c>
      <c r="E100" s="6" t="s">
        <v>874</v>
      </c>
      <c r="F100" t="s">
        <v>245</v>
      </c>
      <c r="G100" t="s">
        <v>74</v>
      </c>
      <c r="H100" s="5">
        <v>43606</v>
      </c>
      <c r="I100" t="s">
        <v>81</v>
      </c>
      <c r="J100" t="s">
        <v>443</v>
      </c>
      <c r="K100" t="s">
        <v>443</v>
      </c>
      <c r="L100">
        <v>2012</v>
      </c>
      <c r="M100" s="5">
        <v>43563</v>
      </c>
      <c r="N100" s="8">
        <f t="shared" si="1"/>
        <v>2019</v>
      </c>
      <c r="O100" t="s">
        <v>870</v>
      </c>
      <c r="P100">
        <v>1</v>
      </c>
      <c r="Q100" t="s">
        <v>246</v>
      </c>
    </row>
    <row r="101" spans="3:17" x14ac:dyDescent="0.25">
      <c r="C101" t="s">
        <v>591</v>
      </c>
      <c r="D101" t="s">
        <v>764</v>
      </c>
      <c r="E101" s="6" t="s">
        <v>874</v>
      </c>
      <c r="F101" t="s">
        <v>247</v>
      </c>
      <c r="G101" t="s">
        <v>248</v>
      </c>
      <c r="H101" s="5">
        <v>43606</v>
      </c>
      <c r="I101" t="s">
        <v>43</v>
      </c>
      <c r="J101" t="s">
        <v>60</v>
      </c>
      <c r="K101" t="s">
        <v>461</v>
      </c>
      <c r="L101">
        <v>2013</v>
      </c>
      <c r="M101" s="5">
        <v>43534</v>
      </c>
      <c r="N101" s="8">
        <f t="shared" si="1"/>
        <v>2019</v>
      </c>
      <c r="O101" t="s">
        <v>870</v>
      </c>
      <c r="P101">
        <v>1</v>
      </c>
      <c r="Q101" t="s">
        <v>249</v>
      </c>
    </row>
    <row r="102" spans="3:17" x14ac:dyDescent="0.25">
      <c r="C102" t="s">
        <v>612</v>
      </c>
      <c r="D102" t="s">
        <v>773</v>
      </c>
      <c r="E102" s="6" t="s">
        <v>874</v>
      </c>
      <c r="F102" t="s">
        <v>250</v>
      </c>
      <c r="G102" t="s">
        <v>63</v>
      </c>
      <c r="H102" s="5">
        <v>43594</v>
      </c>
      <c r="I102" t="s">
        <v>67</v>
      </c>
      <c r="J102" t="s">
        <v>437</v>
      </c>
      <c r="K102" t="s">
        <v>462</v>
      </c>
      <c r="L102">
        <v>2018</v>
      </c>
      <c r="M102" s="5">
        <v>43269</v>
      </c>
      <c r="N102" s="8">
        <f t="shared" si="1"/>
        <v>2018</v>
      </c>
      <c r="O102" t="s">
        <v>870</v>
      </c>
      <c r="P102">
        <v>2</v>
      </c>
      <c r="Q102" t="s">
        <v>251</v>
      </c>
    </row>
    <row r="103" spans="3:17" x14ac:dyDescent="0.25">
      <c r="C103" t="s">
        <v>613</v>
      </c>
      <c r="D103" t="s">
        <v>774</v>
      </c>
      <c r="E103" s="6" t="s">
        <v>874</v>
      </c>
      <c r="F103" t="s">
        <v>252</v>
      </c>
      <c r="G103" t="s">
        <v>253</v>
      </c>
      <c r="H103" s="5">
        <v>43586</v>
      </c>
      <c r="I103" t="s">
        <v>233</v>
      </c>
      <c r="J103" t="s">
        <v>441</v>
      </c>
      <c r="K103" t="s">
        <v>498</v>
      </c>
      <c r="L103">
        <v>2018</v>
      </c>
      <c r="M103" s="5">
        <v>43571</v>
      </c>
      <c r="N103" s="8">
        <f t="shared" si="1"/>
        <v>2019</v>
      </c>
      <c r="O103" t="s">
        <v>870</v>
      </c>
      <c r="P103">
        <v>1</v>
      </c>
      <c r="Q103" t="s">
        <v>254</v>
      </c>
    </row>
    <row r="104" spans="3:17" x14ac:dyDescent="0.25">
      <c r="C104" t="s">
        <v>614</v>
      </c>
      <c r="D104" t="s">
        <v>775</v>
      </c>
      <c r="E104" s="6" t="s">
        <v>874</v>
      </c>
      <c r="F104" t="s">
        <v>255</v>
      </c>
      <c r="G104" t="s">
        <v>150</v>
      </c>
      <c r="H104" s="5">
        <v>43586</v>
      </c>
      <c r="I104" t="s">
        <v>43</v>
      </c>
      <c r="J104" t="s">
        <v>446</v>
      </c>
      <c r="K104" t="s">
        <v>458</v>
      </c>
      <c r="L104">
        <v>2014</v>
      </c>
      <c r="M104" s="5">
        <v>43543</v>
      </c>
      <c r="N104" s="8">
        <f t="shared" si="1"/>
        <v>2019</v>
      </c>
      <c r="O104" t="s">
        <v>870</v>
      </c>
      <c r="P104">
        <v>1</v>
      </c>
      <c r="Q104" t="s">
        <v>256</v>
      </c>
    </row>
    <row r="105" spans="3:17" x14ac:dyDescent="0.25">
      <c r="C105" t="s">
        <v>615</v>
      </c>
      <c r="D105" t="s">
        <v>774</v>
      </c>
      <c r="E105" s="6" t="s">
        <v>874</v>
      </c>
      <c r="F105" t="s">
        <v>252</v>
      </c>
      <c r="G105" t="s">
        <v>98</v>
      </c>
      <c r="H105" s="5">
        <v>43586</v>
      </c>
      <c r="I105" t="s">
        <v>233</v>
      </c>
      <c r="J105" t="s">
        <v>441</v>
      </c>
      <c r="K105" t="s">
        <v>498</v>
      </c>
      <c r="L105">
        <v>2018</v>
      </c>
      <c r="M105" s="5">
        <v>43571</v>
      </c>
      <c r="N105" s="8">
        <f t="shared" si="1"/>
        <v>2019</v>
      </c>
      <c r="O105" t="s">
        <v>870</v>
      </c>
      <c r="P105">
        <v>1</v>
      </c>
      <c r="Q105" t="s">
        <v>257</v>
      </c>
    </row>
    <row r="106" spans="3:17" x14ac:dyDescent="0.25">
      <c r="C106" t="s">
        <v>616</v>
      </c>
      <c r="D106" t="s">
        <v>776</v>
      </c>
      <c r="E106" s="6" t="s">
        <v>874</v>
      </c>
      <c r="F106" t="s">
        <v>258</v>
      </c>
      <c r="G106" t="s">
        <v>129</v>
      </c>
      <c r="H106" s="5">
        <v>43580</v>
      </c>
      <c r="I106" t="s">
        <v>67</v>
      </c>
      <c r="J106" t="s">
        <v>444</v>
      </c>
      <c r="K106" t="s">
        <v>499</v>
      </c>
      <c r="L106">
        <v>2011</v>
      </c>
      <c r="M106" s="5">
        <v>43255</v>
      </c>
      <c r="N106" s="8">
        <f t="shared" si="1"/>
        <v>2018</v>
      </c>
      <c r="O106" t="s">
        <v>870</v>
      </c>
      <c r="P106">
        <v>2</v>
      </c>
      <c r="Q106" t="s">
        <v>259</v>
      </c>
    </row>
    <row r="107" spans="3:17" x14ac:dyDescent="0.25">
      <c r="C107" t="s">
        <v>618</v>
      </c>
      <c r="D107" t="s">
        <v>778</v>
      </c>
      <c r="E107" s="6" t="s">
        <v>874</v>
      </c>
      <c r="F107" t="s">
        <v>262</v>
      </c>
      <c r="G107" t="s">
        <v>238</v>
      </c>
      <c r="H107" s="5">
        <v>43578</v>
      </c>
      <c r="I107" t="s">
        <v>43</v>
      </c>
      <c r="J107" t="s">
        <v>446</v>
      </c>
      <c r="K107" t="s">
        <v>460</v>
      </c>
      <c r="L107">
        <v>2014</v>
      </c>
      <c r="M107" s="5">
        <v>42137</v>
      </c>
      <c r="N107" s="8">
        <f t="shared" si="1"/>
        <v>2015</v>
      </c>
      <c r="O107" t="s">
        <v>870</v>
      </c>
      <c r="P107">
        <v>1</v>
      </c>
      <c r="Q107" t="s">
        <v>228</v>
      </c>
    </row>
    <row r="108" spans="3:17" x14ac:dyDescent="0.25">
      <c r="C108" t="s">
        <v>619</v>
      </c>
      <c r="D108" t="s">
        <v>779</v>
      </c>
      <c r="E108" s="6" t="s">
        <v>874</v>
      </c>
      <c r="F108" t="s">
        <v>264</v>
      </c>
      <c r="G108" t="s">
        <v>63</v>
      </c>
      <c r="H108" s="5">
        <v>43573</v>
      </c>
      <c r="I108" t="s">
        <v>43</v>
      </c>
      <c r="J108" t="s">
        <v>445</v>
      </c>
      <c r="K108" t="s">
        <v>500</v>
      </c>
      <c r="L108">
        <v>2015</v>
      </c>
      <c r="M108" s="5">
        <v>42979</v>
      </c>
      <c r="N108" s="8">
        <f t="shared" si="1"/>
        <v>2017</v>
      </c>
      <c r="O108" t="s">
        <v>870</v>
      </c>
      <c r="P108">
        <v>1</v>
      </c>
      <c r="Q108" t="s">
        <v>265</v>
      </c>
    </row>
    <row r="109" spans="3:17" x14ac:dyDescent="0.25">
      <c r="C109" t="s">
        <v>621</v>
      </c>
      <c r="D109" t="s">
        <v>782</v>
      </c>
      <c r="E109" s="6" t="s">
        <v>874</v>
      </c>
      <c r="F109" t="s">
        <v>240</v>
      </c>
      <c r="G109" t="s">
        <v>42</v>
      </c>
      <c r="H109" s="5">
        <v>43557</v>
      </c>
      <c r="I109" t="s">
        <v>43</v>
      </c>
      <c r="J109" t="s">
        <v>446</v>
      </c>
      <c r="K109" t="s">
        <v>458</v>
      </c>
      <c r="L109">
        <v>2018</v>
      </c>
      <c r="M109" s="5">
        <v>43468</v>
      </c>
      <c r="N109" s="8">
        <f t="shared" si="1"/>
        <v>2019</v>
      </c>
      <c r="O109" t="s">
        <v>870</v>
      </c>
      <c r="P109">
        <v>1</v>
      </c>
      <c r="Q109" t="s">
        <v>270</v>
      </c>
    </row>
    <row r="110" spans="3:17" x14ac:dyDescent="0.25">
      <c r="C110" t="s">
        <v>559</v>
      </c>
      <c r="D110" t="s">
        <v>783</v>
      </c>
      <c r="E110" s="6" t="s">
        <v>874</v>
      </c>
      <c r="F110" t="s">
        <v>271</v>
      </c>
      <c r="G110" t="s">
        <v>129</v>
      </c>
      <c r="H110" s="5">
        <v>43543</v>
      </c>
      <c r="I110" t="s">
        <v>43</v>
      </c>
      <c r="J110" t="s">
        <v>446</v>
      </c>
      <c r="K110" t="s">
        <v>460</v>
      </c>
      <c r="L110">
        <v>2014</v>
      </c>
      <c r="M110" s="5">
        <v>43522</v>
      </c>
      <c r="N110" s="8">
        <f t="shared" si="1"/>
        <v>2019</v>
      </c>
      <c r="O110" t="s">
        <v>870</v>
      </c>
      <c r="P110">
        <v>1</v>
      </c>
      <c r="Q110" t="s">
        <v>272</v>
      </c>
    </row>
    <row r="111" spans="3:17" x14ac:dyDescent="0.25">
      <c r="C111" t="s">
        <v>622</v>
      </c>
      <c r="D111" t="s">
        <v>784</v>
      </c>
      <c r="E111" s="6" t="s">
        <v>874</v>
      </c>
      <c r="F111" t="s">
        <v>273</v>
      </c>
      <c r="G111" t="s">
        <v>33</v>
      </c>
      <c r="H111" s="5">
        <v>43539</v>
      </c>
      <c r="I111" t="s">
        <v>30</v>
      </c>
      <c r="J111" t="s">
        <v>854</v>
      </c>
      <c r="K111" t="s">
        <v>501</v>
      </c>
      <c r="L111">
        <v>2016</v>
      </c>
      <c r="M111" s="5">
        <v>42514</v>
      </c>
      <c r="N111" s="8">
        <f t="shared" si="1"/>
        <v>2016</v>
      </c>
      <c r="O111" t="s">
        <v>870</v>
      </c>
      <c r="P111">
        <v>2</v>
      </c>
      <c r="Q111" t="s">
        <v>274</v>
      </c>
    </row>
    <row r="112" spans="3:17" x14ac:dyDescent="0.25">
      <c r="C112" t="s">
        <v>623</v>
      </c>
      <c r="D112" t="s">
        <v>785</v>
      </c>
      <c r="E112" s="6" t="s">
        <v>874</v>
      </c>
      <c r="F112" t="s">
        <v>275</v>
      </c>
      <c r="G112" t="s">
        <v>150</v>
      </c>
      <c r="H112" s="5">
        <v>43534</v>
      </c>
      <c r="I112" t="s">
        <v>43</v>
      </c>
      <c r="J112" t="s">
        <v>434</v>
      </c>
      <c r="K112" t="s">
        <v>465</v>
      </c>
      <c r="L112">
        <v>2017</v>
      </c>
      <c r="M112" s="5">
        <v>43518</v>
      </c>
      <c r="N112" s="8">
        <f t="shared" si="1"/>
        <v>2019</v>
      </c>
      <c r="O112" t="s">
        <v>870</v>
      </c>
      <c r="P112">
        <v>1</v>
      </c>
      <c r="Q112" t="s">
        <v>276</v>
      </c>
    </row>
    <row r="113" spans="3:17" x14ac:dyDescent="0.25">
      <c r="C113" t="s">
        <v>624</v>
      </c>
      <c r="D113" t="s">
        <v>786</v>
      </c>
      <c r="E113" s="6" t="s">
        <v>874</v>
      </c>
      <c r="F113" t="s">
        <v>277</v>
      </c>
      <c r="G113" t="s">
        <v>49</v>
      </c>
      <c r="H113" s="5">
        <v>43534</v>
      </c>
      <c r="I113" t="s">
        <v>43</v>
      </c>
      <c r="J113" t="s">
        <v>446</v>
      </c>
      <c r="K113" t="s">
        <v>458</v>
      </c>
      <c r="L113">
        <v>2014</v>
      </c>
      <c r="M113" s="5">
        <v>42509</v>
      </c>
      <c r="N113" s="8">
        <f t="shared" si="1"/>
        <v>2016</v>
      </c>
      <c r="O113" t="s">
        <v>870</v>
      </c>
      <c r="P113">
        <v>2</v>
      </c>
      <c r="Q113" t="s">
        <v>278</v>
      </c>
    </row>
    <row r="114" spans="3:17" x14ac:dyDescent="0.25">
      <c r="C114" t="s">
        <v>625</v>
      </c>
      <c r="D114" t="s">
        <v>787</v>
      </c>
      <c r="E114" s="6" t="s">
        <v>874</v>
      </c>
      <c r="F114" t="s">
        <v>245</v>
      </c>
      <c r="G114" t="s">
        <v>74</v>
      </c>
      <c r="H114" s="5">
        <v>43518</v>
      </c>
      <c r="I114" t="s">
        <v>67</v>
      </c>
      <c r="J114" t="s">
        <v>437</v>
      </c>
      <c r="K114" t="s">
        <v>462</v>
      </c>
      <c r="L114">
        <v>2015</v>
      </c>
      <c r="M114" s="5">
        <v>42937</v>
      </c>
      <c r="N114" s="8">
        <f t="shared" si="1"/>
        <v>2017</v>
      </c>
      <c r="O114" t="s">
        <v>870</v>
      </c>
      <c r="P114">
        <v>1</v>
      </c>
      <c r="Q114" t="s">
        <v>279</v>
      </c>
    </row>
    <row r="115" spans="3:17" x14ac:dyDescent="0.25">
      <c r="C115" t="s">
        <v>626</v>
      </c>
      <c r="D115" t="s">
        <v>788</v>
      </c>
      <c r="E115" s="6" t="s">
        <v>874</v>
      </c>
      <c r="F115" t="s">
        <v>170</v>
      </c>
      <c r="G115" t="s">
        <v>150</v>
      </c>
      <c r="H115" s="5">
        <v>43517</v>
      </c>
      <c r="I115" t="s">
        <v>67</v>
      </c>
      <c r="J115" t="s">
        <v>450</v>
      </c>
      <c r="K115" t="s">
        <v>502</v>
      </c>
      <c r="L115">
        <v>2013</v>
      </c>
      <c r="M115" s="5">
        <v>43489</v>
      </c>
      <c r="N115" s="8">
        <f t="shared" si="1"/>
        <v>2019</v>
      </c>
      <c r="O115" t="s">
        <v>870</v>
      </c>
      <c r="P115">
        <v>1</v>
      </c>
      <c r="Q115" t="s">
        <v>280</v>
      </c>
    </row>
    <row r="116" spans="3:17" x14ac:dyDescent="0.25">
      <c r="C116" t="s">
        <v>627</v>
      </c>
      <c r="D116" t="s">
        <v>789</v>
      </c>
      <c r="E116" s="6" t="s">
        <v>874</v>
      </c>
      <c r="F116" t="s">
        <v>281</v>
      </c>
      <c r="G116" t="s">
        <v>282</v>
      </c>
      <c r="H116" s="5">
        <v>43512</v>
      </c>
      <c r="I116" t="s">
        <v>67</v>
      </c>
      <c r="J116" t="s">
        <v>437</v>
      </c>
      <c r="K116" t="s">
        <v>470</v>
      </c>
      <c r="L116">
        <v>2013</v>
      </c>
      <c r="M116" s="5">
        <v>43491</v>
      </c>
      <c r="N116" s="8">
        <f t="shared" si="1"/>
        <v>2019</v>
      </c>
      <c r="O116" t="s">
        <v>870</v>
      </c>
      <c r="P116">
        <v>1</v>
      </c>
      <c r="Q116" t="s">
        <v>283</v>
      </c>
    </row>
    <row r="117" spans="3:17" x14ac:dyDescent="0.25">
      <c r="C117" t="s">
        <v>574</v>
      </c>
      <c r="D117" t="s">
        <v>790</v>
      </c>
      <c r="E117" s="6" t="s">
        <v>874</v>
      </c>
      <c r="F117" t="s">
        <v>284</v>
      </c>
      <c r="G117" t="s">
        <v>33</v>
      </c>
      <c r="H117" s="5">
        <v>43509</v>
      </c>
      <c r="I117" t="s">
        <v>43</v>
      </c>
      <c r="J117" t="s">
        <v>446</v>
      </c>
      <c r="K117" t="s">
        <v>503</v>
      </c>
      <c r="L117">
        <v>2019</v>
      </c>
      <c r="M117" s="5">
        <v>43508</v>
      </c>
      <c r="N117" s="8">
        <f t="shared" si="1"/>
        <v>2019</v>
      </c>
      <c r="O117" t="s">
        <v>870</v>
      </c>
      <c r="P117">
        <v>1</v>
      </c>
      <c r="Q117" t="s">
        <v>285</v>
      </c>
    </row>
    <row r="118" spans="3:17" x14ac:dyDescent="0.25">
      <c r="C118" t="s">
        <v>628</v>
      </c>
      <c r="D118" t="s">
        <v>791</v>
      </c>
      <c r="E118" s="6" t="s">
        <v>874</v>
      </c>
      <c r="F118" t="s">
        <v>286</v>
      </c>
      <c r="G118" t="s">
        <v>63</v>
      </c>
      <c r="H118" s="5">
        <v>43502</v>
      </c>
      <c r="I118" t="s">
        <v>161</v>
      </c>
      <c r="J118" t="s">
        <v>439</v>
      </c>
      <c r="K118" t="s">
        <v>504</v>
      </c>
      <c r="L118">
        <v>2018</v>
      </c>
      <c r="M118" s="5">
        <v>43484</v>
      </c>
      <c r="N118" s="8">
        <f t="shared" si="1"/>
        <v>2019</v>
      </c>
      <c r="O118" t="s">
        <v>870</v>
      </c>
      <c r="P118">
        <v>1</v>
      </c>
      <c r="Q118" t="s">
        <v>287</v>
      </c>
    </row>
    <row r="119" spans="3:17" x14ac:dyDescent="0.25">
      <c r="C119" t="s">
        <v>564</v>
      </c>
      <c r="D119" t="s">
        <v>792</v>
      </c>
      <c r="E119" s="6" t="s">
        <v>874</v>
      </c>
      <c r="F119" t="s">
        <v>288</v>
      </c>
      <c r="G119" t="s">
        <v>289</v>
      </c>
      <c r="H119" s="5">
        <v>43501</v>
      </c>
      <c r="I119" t="s">
        <v>43</v>
      </c>
      <c r="J119" t="s">
        <v>432</v>
      </c>
      <c r="K119" t="s">
        <v>491</v>
      </c>
      <c r="L119">
        <v>2014</v>
      </c>
      <c r="M119" s="5">
        <v>43500</v>
      </c>
      <c r="N119" s="8">
        <f t="shared" si="1"/>
        <v>2019</v>
      </c>
      <c r="O119" t="s">
        <v>870</v>
      </c>
      <c r="P119">
        <v>1</v>
      </c>
      <c r="Q119" t="s">
        <v>290</v>
      </c>
    </row>
    <row r="120" spans="3:17" x14ac:dyDescent="0.25">
      <c r="C120" t="s">
        <v>629</v>
      </c>
      <c r="D120" t="s">
        <v>793</v>
      </c>
      <c r="E120" s="6" t="s">
        <v>874</v>
      </c>
      <c r="F120" t="s">
        <v>291</v>
      </c>
      <c r="G120" t="s">
        <v>55</v>
      </c>
      <c r="H120" s="5">
        <v>43500</v>
      </c>
      <c r="I120" t="s">
        <v>43</v>
      </c>
      <c r="J120" t="s">
        <v>446</v>
      </c>
      <c r="K120" t="s">
        <v>460</v>
      </c>
      <c r="L120">
        <v>2014</v>
      </c>
      <c r="M120" s="5">
        <v>43497</v>
      </c>
      <c r="N120" s="8">
        <f t="shared" si="1"/>
        <v>2019</v>
      </c>
      <c r="O120" t="s">
        <v>870</v>
      </c>
      <c r="P120">
        <v>1</v>
      </c>
      <c r="Q120" t="s">
        <v>292</v>
      </c>
    </row>
    <row r="121" spans="3:17" x14ac:dyDescent="0.25">
      <c r="C121" t="s">
        <v>630</v>
      </c>
      <c r="D121" t="s">
        <v>794</v>
      </c>
      <c r="E121" s="6" t="s">
        <v>874</v>
      </c>
      <c r="F121" t="s">
        <v>293</v>
      </c>
      <c r="G121" t="s">
        <v>63</v>
      </c>
      <c r="H121" s="5">
        <v>43500</v>
      </c>
      <c r="I121" t="s">
        <v>67</v>
      </c>
      <c r="J121" t="s">
        <v>444</v>
      </c>
      <c r="K121" t="s">
        <v>505</v>
      </c>
      <c r="L121">
        <v>2017</v>
      </c>
      <c r="M121" s="5">
        <v>43375</v>
      </c>
      <c r="N121" s="8">
        <f t="shared" si="1"/>
        <v>2018</v>
      </c>
      <c r="O121" t="s">
        <v>870</v>
      </c>
      <c r="P121">
        <v>2</v>
      </c>
      <c r="Q121" t="s">
        <v>294</v>
      </c>
    </row>
    <row r="122" spans="3:17" x14ac:dyDescent="0.25">
      <c r="C122" t="s">
        <v>631</v>
      </c>
      <c r="D122" t="s">
        <v>658</v>
      </c>
      <c r="E122" s="6" t="s">
        <v>874</v>
      </c>
      <c r="F122" t="s">
        <v>295</v>
      </c>
      <c r="G122" t="s">
        <v>135</v>
      </c>
      <c r="H122" s="5">
        <v>43499</v>
      </c>
      <c r="I122" t="s">
        <v>43</v>
      </c>
      <c r="J122" t="s">
        <v>432</v>
      </c>
      <c r="K122" t="s">
        <v>506</v>
      </c>
      <c r="L122">
        <v>2014</v>
      </c>
      <c r="M122" s="5">
        <v>42401</v>
      </c>
      <c r="N122" s="8">
        <f t="shared" si="1"/>
        <v>2016</v>
      </c>
      <c r="O122" t="s">
        <v>870</v>
      </c>
      <c r="P122">
        <v>2</v>
      </c>
      <c r="Q122" t="s">
        <v>296</v>
      </c>
    </row>
    <row r="123" spans="3:17" x14ac:dyDescent="0.25">
      <c r="C123" t="s">
        <v>549</v>
      </c>
      <c r="D123" t="s">
        <v>795</v>
      </c>
      <c r="E123" s="6" t="s">
        <v>874</v>
      </c>
      <c r="F123" t="s">
        <v>297</v>
      </c>
      <c r="G123" t="s">
        <v>63</v>
      </c>
      <c r="H123" s="5">
        <v>43497</v>
      </c>
      <c r="I123" t="s">
        <v>298</v>
      </c>
      <c r="J123" t="s">
        <v>856</v>
      </c>
      <c r="K123" t="s">
        <v>507</v>
      </c>
      <c r="L123">
        <v>2018</v>
      </c>
      <c r="M123" s="5">
        <v>43282</v>
      </c>
      <c r="N123" s="8">
        <f t="shared" si="1"/>
        <v>2018</v>
      </c>
      <c r="O123" t="s">
        <v>870</v>
      </c>
      <c r="P123">
        <v>2</v>
      </c>
      <c r="Q123" t="s">
        <v>300</v>
      </c>
    </row>
    <row r="124" spans="3:17" x14ac:dyDescent="0.25">
      <c r="C124" t="s">
        <v>634</v>
      </c>
      <c r="D124" t="s">
        <v>797</v>
      </c>
      <c r="E124" s="6" t="s">
        <v>874</v>
      </c>
      <c r="F124" t="s">
        <v>302</v>
      </c>
      <c r="G124" t="s">
        <v>74</v>
      </c>
      <c r="H124" s="5">
        <v>43484</v>
      </c>
      <c r="I124" t="s">
        <v>67</v>
      </c>
      <c r="J124" t="s">
        <v>437</v>
      </c>
      <c r="K124" t="s">
        <v>303</v>
      </c>
      <c r="L124">
        <v>2017</v>
      </c>
      <c r="M124" s="5">
        <v>43461</v>
      </c>
      <c r="N124" s="8">
        <f t="shared" si="1"/>
        <v>2018</v>
      </c>
      <c r="O124" t="s">
        <v>870</v>
      </c>
      <c r="P124">
        <v>2</v>
      </c>
      <c r="Q124" t="s">
        <v>304</v>
      </c>
    </row>
    <row r="125" spans="3:17" x14ac:dyDescent="0.25">
      <c r="C125" t="s">
        <v>635</v>
      </c>
      <c r="D125" t="s">
        <v>798</v>
      </c>
      <c r="E125" s="6" t="s">
        <v>874</v>
      </c>
      <c r="F125" t="s">
        <v>305</v>
      </c>
      <c r="G125" t="s">
        <v>63</v>
      </c>
      <c r="H125" s="5">
        <v>43482</v>
      </c>
      <c r="I125" t="s">
        <v>67</v>
      </c>
      <c r="J125" t="s">
        <v>437</v>
      </c>
      <c r="K125" t="s">
        <v>481</v>
      </c>
      <c r="L125">
        <v>2016</v>
      </c>
      <c r="M125" s="5">
        <v>43436</v>
      </c>
      <c r="N125" s="8">
        <f t="shared" si="1"/>
        <v>2018</v>
      </c>
      <c r="O125" t="s">
        <v>870</v>
      </c>
      <c r="P125">
        <v>5</v>
      </c>
      <c r="Q125" t="s">
        <v>306</v>
      </c>
    </row>
    <row r="126" spans="3:17" x14ac:dyDescent="0.25">
      <c r="C126" t="s">
        <v>636</v>
      </c>
      <c r="D126" t="s">
        <v>799</v>
      </c>
      <c r="E126" s="6" t="s">
        <v>874</v>
      </c>
      <c r="F126" t="s">
        <v>307</v>
      </c>
      <c r="G126" t="s">
        <v>308</v>
      </c>
      <c r="H126" s="5">
        <v>43482</v>
      </c>
      <c r="I126" t="s">
        <v>81</v>
      </c>
      <c r="J126" t="s">
        <v>435</v>
      </c>
      <c r="K126" t="s">
        <v>508</v>
      </c>
      <c r="L126">
        <v>2018</v>
      </c>
      <c r="M126" s="5">
        <v>43348</v>
      </c>
      <c r="N126" s="8">
        <f t="shared" si="1"/>
        <v>2018</v>
      </c>
      <c r="O126" t="s">
        <v>870</v>
      </c>
      <c r="P126">
        <v>4</v>
      </c>
      <c r="Q126" t="s">
        <v>309</v>
      </c>
    </row>
    <row r="127" spans="3:17" x14ac:dyDescent="0.25">
      <c r="C127" t="s">
        <v>601</v>
      </c>
      <c r="D127" t="s">
        <v>800</v>
      </c>
      <c r="E127" s="6" t="s">
        <v>874</v>
      </c>
      <c r="F127" t="s">
        <v>163</v>
      </c>
      <c r="G127" t="s">
        <v>164</v>
      </c>
      <c r="H127" s="5">
        <v>43481</v>
      </c>
      <c r="I127" t="s">
        <v>30</v>
      </c>
      <c r="J127" t="s">
        <v>436</v>
      </c>
      <c r="K127" t="s">
        <v>480</v>
      </c>
      <c r="L127">
        <v>2013</v>
      </c>
      <c r="M127" s="5">
        <v>43163</v>
      </c>
      <c r="N127" s="8">
        <f t="shared" si="1"/>
        <v>2018</v>
      </c>
      <c r="O127" t="s">
        <v>870</v>
      </c>
      <c r="P127">
        <v>1</v>
      </c>
      <c r="Q127" t="s">
        <v>310</v>
      </c>
    </row>
    <row r="128" spans="3:17" x14ac:dyDescent="0.25">
      <c r="C128" t="s">
        <v>637</v>
      </c>
      <c r="D128" t="s">
        <v>801</v>
      </c>
      <c r="E128" s="6" t="s">
        <v>874</v>
      </c>
      <c r="F128" t="s">
        <v>311</v>
      </c>
      <c r="G128" t="s">
        <v>63</v>
      </c>
      <c r="H128" s="5">
        <v>43475</v>
      </c>
      <c r="I128" t="s">
        <v>312</v>
      </c>
      <c r="J128" t="s">
        <v>447</v>
      </c>
      <c r="K128" t="s">
        <v>509</v>
      </c>
      <c r="L128">
        <v>2011</v>
      </c>
      <c r="M128" s="5">
        <v>43459</v>
      </c>
      <c r="N128" s="8">
        <f t="shared" si="1"/>
        <v>2018</v>
      </c>
      <c r="O128" t="s">
        <v>870</v>
      </c>
      <c r="P128">
        <v>3</v>
      </c>
      <c r="Q128" t="s">
        <v>313</v>
      </c>
    </row>
    <row r="129" spans="3:17" x14ac:dyDescent="0.25">
      <c r="C129" t="s">
        <v>637</v>
      </c>
      <c r="D129" t="s">
        <v>801</v>
      </c>
      <c r="E129" s="6" t="s">
        <v>874</v>
      </c>
      <c r="F129" t="s">
        <v>311</v>
      </c>
      <c r="G129" t="s">
        <v>63</v>
      </c>
      <c r="H129" s="5">
        <v>43475</v>
      </c>
      <c r="I129" t="s">
        <v>34</v>
      </c>
      <c r="J129" t="s">
        <v>447</v>
      </c>
      <c r="K129" t="s">
        <v>509</v>
      </c>
      <c r="L129">
        <v>2011</v>
      </c>
      <c r="M129" s="5">
        <v>43459</v>
      </c>
      <c r="N129" s="8">
        <f t="shared" si="1"/>
        <v>2018</v>
      </c>
      <c r="O129" t="s">
        <v>870</v>
      </c>
      <c r="P129">
        <v>3</v>
      </c>
      <c r="Q129" t="s">
        <v>313</v>
      </c>
    </row>
    <row r="130" spans="3:17" x14ac:dyDescent="0.25">
      <c r="C130" t="s">
        <v>638</v>
      </c>
      <c r="D130" t="s">
        <v>802</v>
      </c>
      <c r="E130" s="6" t="s">
        <v>874</v>
      </c>
      <c r="F130" t="s">
        <v>314</v>
      </c>
      <c r="G130" t="s">
        <v>129</v>
      </c>
      <c r="H130" s="5">
        <v>43473</v>
      </c>
      <c r="I130" t="s">
        <v>43</v>
      </c>
      <c r="J130" t="s">
        <v>60</v>
      </c>
      <c r="K130" t="s">
        <v>461</v>
      </c>
      <c r="L130">
        <v>2011</v>
      </c>
      <c r="M130" s="5">
        <v>42784</v>
      </c>
      <c r="N130" s="8">
        <f t="shared" si="1"/>
        <v>2017</v>
      </c>
      <c r="O130" t="s">
        <v>870</v>
      </c>
      <c r="P130">
        <v>1</v>
      </c>
      <c r="Q130" t="s">
        <v>315</v>
      </c>
    </row>
    <row r="131" spans="3:17" x14ac:dyDescent="0.25">
      <c r="C131" t="s">
        <v>639</v>
      </c>
      <c r="D131" t="s">
        <v>803</v>
      </c>
      <c r="E131" s="6" t="s">
        <v>874</v>
      </c>
      <c r="F131" t="s">
        <v>316</v>
      </c>
      <c r="G131" t="s">
        <v>63</v>
      </c>
      <c r="H131" s="5">
        <v>43473</v>
      </c>
      <c r="I131" t="s">
        <v>231</v>
      </c>
      <c r="J131" t="s">
        <v>441</v>
      </c>
      <c r="K131" t="s">
        <v>494</v>
      </c>
      <c r="L131">
        <v>2018</v>
      </c>
      <c r="M131" s="5">
        <v>43194</v>
      </c>
      <c r="N131" s="8">
        <f t="shared" ref="N131:N187" si="2">YEAR(M131)</f>
        <v>2018</v>
      </c>
      <c r="O131" t="s">
        <v>870</v>
      </c>
      <c r="P131">
        <v>1</v>
      </c>
      <c r="Q131" t="s">
        <v>317</v>
      </c>
    </row>
    <row r="132" spans="3:17" x14ac:dyDescent="0.25">
      <c r="C132" t="s">
        <v>639</v>
      </c>
      <c r="D132" t="s">
        <v>803</v>
      </c>
      <c r="E132" s="6" t="s">
        <v>874</v>
      </c>
      <c r="F132" t="s">
        <v>316</v>
      </c>
      <c r="G132" t="s">
        <v>63</v>
      </c>
      <c r="H132" s="5">
        <v>43473</v>
      </c>
      <c r="I132" t="s">
        <v>233</v>
      </c>
      <c r="J132" t="s">
        <v>441</v>
      </c>
      <c r="K132" t="s">
        <v>494</v>
      </c>
      <c r="L132">
        <v>2018</v>
      </c>
      <c r="M132" s="5">
        <v>43194</v>
      </c>
      <c r="N132" s="8">
        <f t="shared" si="2"/>
        <v>2018</v>
      </c>
      <c r="O132" t="s">
        <v>870</v>
      </c>
      <c r="P132">
        <v>1</v>
      </c>
      <c r="Q132" t="s">
        <v>317</v>
      </c>
    </row>
    <row r="133" spans="3:17" x14ac:dyDescent="0.25">
      <c r="C133" t="s">
        <v>640</v>
      </c>
      <c r="D133" t="s">
        <v>804</v>
      </c>
      <c r="E133" s="6" t="s">
        <v>874</v>
      </c>
      <c r="F133" t="s">
        <v>318</v>
      </c>
      <c r="G133" t="s">
        <v>63</v>
      </c>
      <c r="H133" s="5">
        <v>43454</v>
      </c>
      <c r="I133" t="s">
        <v>233</v>
      </c>
      <c r="J133" t="s">
        <v>448</v>
      </c>
      <c r="K133" t="s">
        <v>319</v>
      </c>
      <c r="L133">
        <v>2018</v>
      </c>
      <c r="M133" s="5">
        <v>43439</v>
      </c>
      <c r="N133" s="8">
        <f t="shared" si="2"/>
        <v>2018</v>
      </c>
      <c r="O133" t="s">
        <v>870</v>
      </c>
      <c r="P133">
        <v>1</v>
      </c>
      <c r="Q133" t="s">
        <v>320</v>
      </c>
    </row>
    <row r="134" spans="3:17" x14ac:dyDescent="0.25">
      <c r="C134" t="s">
        <v>641</v>
      </c>
      <c r="D134" t="s">
        <v>805</v>
      </c>
      <c r="E134" s="6" t="s">
        <v>874</v>
      </c>
      <c r="F134" t="s">
        <v>321</v>
      </c>
      <c r="G134" t="s">
        <v>52</v>
      </c>
      <c r="H134" s="5">
        <v>43430</v>
      </c>
      <c r="I134" t="s">
        <v>30</v>
      </c>
      <c r="J134" t="s">
        <v>436</v>
      </c>
      <c r="K134" t="s">
        <v>510</v>
      </c>
      <c r="L134">
        <v>2018</v>
      </c>
      <c r="M134" s="5">
        <v>43427</v>
      </c>
      <c r="N134" s="8">
        <f t="shared" si="2"/>
        <v>2018</v>
      </c>
      <c r="O134" t="s">
        <v>870</v>
      </c>
      <c r="P134">
        <v>1</v>
      </c>
      <c r="Q134" t="s">
        <v>322</v>
      </c>
    </row>
    <row r="135" spans="3:17" x14ac:dyDescent="0.25">
      <c r="C135" t="s">
        <v>642</v>
      </c>
      <c r="D135" t="s">
        <v>806</v>
      </c>
      <c r="E135" s="6" t="s">
        <v>874</v>
      </c>
      <c r="F135" t="s">
        <v>323</v>
      </c>
      <c r="G135" t="s">
        <v>129</v>
      </c>
      <c r="H135" s="5">
        <v>43425</v>
      </c>
      <c r="I135" t="s">
        <v>43</v>
      </c>
      <c r="J135" t="s">
        <v>446</v>
      </c>
      <c r="K135" t="s">
        <v>511</v>
      </c>
      <c r="L135">
        <v>2017</v>
      </c>
      <c r="M135" s="5">
        <v>43336</v>
      </c>
      <c r="N135" s="8">
        <f t="shared" si="2"/>
        <v>2018</v>
      </c>
      <c r="O135" t="s">
        <v>870</v>
      </c>
      <c r="P135">
        <v>1</v>
      </c>
      <c r="Q135" t="s">
        <v>324</v>
      </c>
    </row>
    <row r="136" spans="3:17" x14ac:dyDescent="0.25">
      <c r="C136" t="s">
        <v>643</v>
      </c>
      <c r="D136" t="s">
        <v>773</v>
      </c>
      <c r="E136" s="6" t="s">
        <v>874</v>
      </c>
      <c r="F136" t="s">
        <v>325</v>
      </c>
      <c r="G136" t="s">
        <v>63</v>
      </c>
      <c r="H136" s="5">
        <v>43425</v>
      </c>
      <c r="I136" t="s">
        <v>43</v>
      </c>
      <c r="J136" t="s">
        <v>440</v>
      </c>
      <c r="K136" t="s">
        <v>489</v>
      </c>
      <c r="L136">
        <v>2016</v>
      </c>
      <c r="M136" s="5">
        <v>43297</v>
      </c>
      <c r="N136" s="8">
        <f t="shared" si="2"/>
        <v>2018</v>
      </c>
      <c r="O136" t="s">
        <v>870</v>
      </c>
      <c r="P136">
        <v>1</v>
      </c>
      <c r="Q136" t="s">
        <v>326</v>
      </c>
    </row>
    <row r="137" spans="3:17" x14ac:dyDescent="0.25">
      <c r="C137" t="s">
        <v>644</v>
      </c>
      <c r="D137" t="s">
        <v>579</v>
      </c>
      <c r="E137" s="6" t="s">
        <v>874</v>
      </c>
      <c r="F137" t="s">
        <v>327</v>
      </c>
      <c r="G137" t="s">
        <v>63</v>
      </c>
      <c r="H137" s="5">
        <v>43425</v>
      </c>
      <c r="I137" t="s">
        <v>43</v>
      </c>
      <c r="J137" t="s">
        <v>446</v>
      </c>
      <c r="K137" t="s">
        <v>460</v>
      </c>
      <c r="L137">
        <v>2013</v>
      </c>
      <c r="M137" s="5">
        <v>43364</v>
      </c>
      <c r="N137" s="8">
        <f t="shared" si="2"/>
        <v>2018</v>
      </c>
      <c r="O137" t="s">
        <v>870</v>
      </c>
      <c r="P137">
        <v>1</v>
      </c>
      <c r="Q137" t="s">
        <v>328</v>
      </c>
    </row>
    <row r="138" spans="3:17" x14ac:dyDescent="0.25">
      <c r="C138" t="s">
        <v>645</v>
      </c>
      <c r="D138" t="s">
        <v>807</v>
      </c>
      <c r="E138" s="6" t="s">
        <v>874</v>
      </c>
      <c r="F138" t="s">
        <v>329</v>
      </c>
      <c r="G138" t="s">
        <v>33</v>
      </c>
      <c r="H138" s="5">
        <v>43420</v>
      </c>
      <c r="I138" t="s">
        <v>67</v>
      </c>
      <c r="J138" t="s">
        <v>437</v>
      </c>
      <c r="K138" t="s">
        <v>87</v>
      </c>
      <c r="L138">
        <v>2015</v>
      </c>
      <c r="M138" s="5">
        <v>43417</v>
      </c>
      <c r="N138" s="8">
        <f t="shared" si="2"/>
        <v>2018</v>
      </c>
      <c r="O138" t="s">
        <v>870</v>
      </c>
      <c r="P138">
        <v>2</v>
      </c>
      <c r="Q138" t="s">
        <v>330</v>
      </c>
    </row>
    <row r="139" spans="3:17" x14ac:dyDescent="0.25">
      <c r="C139" t="s">
        <v>646</v>
      </c>
      <c r="D139" t="s">
        <v>808</v>
      </c>
      <c r="E139" s="6" t="s">
        <v>874</v>
      </c>
      <c r="F139" t="s">
        <v>331</v>
      </c>
      <c r="G139" t="s">
        <v>132</v>
      </c>
      <c r="H139" s="5">
        <v>43408</v>
      </c>
      <c r="I139" t="s">
        <v>43</v>
      </c>
      <c r="J139" t="s">
        <v>446</v>
      </c>
      <c r="K139" t="s">
        <v>483</v>
      </c>
      <c r="L139">
        <v>2015</v>
      </c>
      <c r="M139" s="5">
        <v>43156</v>
      </c>
      <c r="N139" s="8">
        <f t="shared" si="2"/>
        <v>2018</v>
      </c>
      <c r="O139" t="s">
        <v>870</v>
      </c>
      <c r="P139">
        <v>1</v>
      </c>
      <c r="Q139" t="s">
        <v>332</v>
      </c>
    </row>
    <row r="140" spans="3:17" x14ac:dyDescent="0.25">
      <c r="C140" t="s">
        <v>647</v>
      </c>
      <c r="D140" t="s">
        <v>579</v>
      </c>
      <c r="E140" s="6" t="s">
        <v>874</v>
      </c>
      <c r="F140" t="s">
        <v>333</v>
      </c>
      <c r="G140" t="s">
        <v>120</v>
      </c>
      <c r="H140" s="5">
        <v>43399</v>
      </c>
      <c r="I140" t="s">
        <v>67</v>
      </c>
      <c r="J140" t="s">
        <v>437</v>
      </c>
      <c r="K140" t="s">
        <v>512</v>
      </c>
      <c r="L140">
        <v>2018</v>
      </c>
      <c r="M140" s="5">
        <v>43388</v>
      </c>
      <c r="N140" s="8">
        <f t="shared" si="2"/>
        <v>2018</v>
      </c>
      <c r="O140" t="s">
        <v>870</v>
      </c>
      <c r="P140">
        <v>1</v>
      </c>
      <c r="Q140" t="s">
        <v>334</v>
      </c>
    </row>
    <row r="141" spans="3:17" x14ac:dyDescent="0.25">
      <c r="C141" t="s">
        <v>648</v>
      </c>
      <c r="D141" t="s">
        <v>809</v>
      </c>
      <c r="E141" s="6" t="s">
        <v>874</v>
      </c>
      <c r="F141" t="s">
        <v>335</v>
      </c>
      <c r="G141" t="s">
        <v>52</v>
      </c>
      <c r="H141" s="5">
        <v>43396</v>
      </c>
      <c r="I141" t="s">
        <v>336</v>
      </c>
      <c r="J141" t="s">
        <v>452</v>
      </c>
      <c r="K141" t="s">
        <v>513</v>
      </c>
      <c r="L141">
        <v>2015</v>
      </c>
      <c r="M141" s="5">
        <v>43390</v>
      </c>
      <c r="N141" s="8">
        <f t="shared" si="2"/>
        <v>2018</v>
      </c>
      <c r="O141" t="s">
        <v>870</v>
      </c>
      <c r="P141">
        <v>1</v>
      </c>
      <c r="Q141" t="s">
        <v>337</v>
      </c>
    </row>
    <row r="142" spans="3:17" x14ac:dyDescent="0.25">
      <c r="C142" t="s">
        <v>649</v>
      </c>
      <c r="D142" t="s">
        <v>810</v>
      </c>
      <c r="E142" s="6" t="s">
        <v>874</v>
      </c>
      <c r="F142" t="s">
        <v>338</v>
      </c>
      <c r="G142" t="s">
        <v>80</v>
      </c>
      <c r="H142" s="5">
        <v>43392</v>
      </c>
      <c r="I142" t="s">
        <v>43</v>
      </c>
      <c r="J142" t="s">
        <v>60</v>
      </c>
      <c r="K142" t="s">
        <v>460</v>
      </c>
      <c r="L142">
        <v>2015</v>
      </c>
      <c r="M142" s="5">
        <v>42726</v>
      </c>
      <c r="N142" s="8">
        <f t="shared" si="2"/>
        <v>2016</v>
      </c>
      <c r="O142" t="s">
        <v>870</v>
      </c>
      <c r="P142">
        <v>1</v>
      </c>
      <c r="Q142" t="s">
        <v>339</v>
      </c>
    </row>
    <row r="143" spans="3:17" x14ac:dyDescent="0.25">
      <c r="C143" t="s">
        <v>650</v>
      </c>
      <c r="D143" t="s">
        <v>811</v>
      </c>
      <c r="E143" s="6" t="s">
        <v>874</v>
      </c>
      <c r="F143" t="s">
        <v>340</v>
      </c>
      <c r="G143" t="s">
        <v>63</v>
      </c>
      <c r="H143" s="5">
        <v>43391</v>
      </c>
      <c r="I143" t="s">
        <v>43</v>
      </c>
      <c r="J143" t="s">
        <v>60</v>
      </c>
      <c r="K143" t="s">
        <v>461</v>
      </c>
      <c r="L143">
        <v>2017</v>
      </c>
      <c r="M143" s="5">
        <v>43359</v>
      </c>
      <c r="N143" s="8">
        <f t="shared" si="2"/>
        <v>2018</v>
      </c>
      <c r="O143" t="s">
        <v>870</v>
      </c>
      <c r="P143">
        <v>4</v>
      </c>
      <c r="Q143" t="s">
        <v>341</v>
      </c>
    </row>
    <row r="144" spans="3:17" x14ac:dyDescent="0.25">
      <c r="C144" t="s">
        <v>651</v>
      </c>
      <c r="D144" t="s">
        <v>812</v>
      </c>
      <c r="E144" s="6" t="s">
        <v>874</v>
      </c>
      <c r="F144" t="s">
        <v>342</v>
      </c>
      <c r="G144" t="s">
        <v>103</v>
      </c>
      <c r="H144" s="5">
        <v>43389</v>
      </c>
      <c r="I144" t="s">
        <v>30</v>
      </c>
      <c r="J144" t="s">
        <v>449</v>
      </c>
      <c r="K144" t="s">
        <v>514</v>
      </c>
      <c r="L144">
        <v>2014</v>
      </c>
      <c r="M144" s="5">
        <v>43388</v>
      </c>
      <c r="N144" s="8">
        <f t="shared" si="2"/>
        <v>2018</v>
      </c>
      <c r="O144" t="s">
        <v>870</v>
      </c>
      <c r="P144">
        <v>2</v>
      </c>
      <c r="Q144" t="s">
        <v>343</v>
      </c>
    </row>
    <row r="145" spans="3:17" x14ac:dyDescent="0.25">
      <c r="C145" t="s">
        <v>622</v>
      </c>
      <c r="D145" t="s">
        <v>813</v>
      </c>
      <c r="E145" s="6" t="s">
        <v>874</v>
      </c>
      <c r="F145" t="s">
        <v>344</v>
      </c>
      <c r="G145" t="s">
        <v>110</v>
      </c>
      <c r="H145" s="5">
        <v>43389</v>
      </c>
      <c r="I145" t="s">
        <v>30</v>
      </c>
      <c r="J145" t="s">
        <v>430</v>
      </c>
      <c r="K145" t="s">
        <v>515</v>
      </c>
      <c r="L145">
        <v>2018</v>
      </c>
      <c r="M145" s="5">
        <v>43385</v>
      </c>
      <c r="N145" s="8">
        <f t="shared" si="2"/>
        <v>2018</v>
      </c>
      <c r="O145" t="s">
        <v>870</v>
      </c>
      <c r="P145">
        <v>1</v>
      </c>
      <c r="Q145" t="s">
        <v>345</v>
      </c>
    </row>
    <row r="146" spans="3:17" x14ac:dyDescent="0.25">
      <c r="C146" t="s">
        <v>579</v>
      </c>
      <c r="D146" t="s">
        <v>814</v>
      </c>
      <c r="E146" s="6" t="s">
        <v>874</v>
      </c>
      <c r="F146" t="s">
        <v>346</v>
      </c>
      <c r="G146" t="s">
        <v>129</v>
      </c>
      <c r="H146" s="5">
        <v>43385</v>
      </c>
      <c r="I146" t="s">
        <v>30</v>
      </c>
      <c r="J146" t="s">
        <v>436</v>
      </c>
      <c r="K146" t="s">
        <v>516</v>
      </c>
      <c r="L146">
        <v>2018</v>
      </c>
      <c r="M146" s="5">
        <v>43371</v>
      </c>
      <c r="N146" s="8">
        <f t="shared" si="2"/>
        <v>2018</v>
      </c>
      <c r="O146" t="s">
        <v>870</v>
      </c>
      <c r="P146">
        <v>3</v>
      </c>
      <c r="Q146" t="s">
        <v>347</v>
      </c>
    </row>
    <row r="147" spans="3:17" x14ac:dyDescent="0.25">
      <c r="C147" t="s">
        <v>652</v>
      </c>
      <c r="D147" t="s">
        <v>815</v>
      </c>
      <c r="E147" s="6" t="s">
        <v>874</v>
      </c>
      <c r="F147" t="s">
        <v>203</v>
      </c>
      <c r="G147" t="s">
        <v>129</v>
      </c>
      <c r="H147" s="5">
        <v>43382</v>
      </c>
      <c r="I147" t="s">
        <v>43</v>
      </c>
      <c r="J147" t="s">
        <v>446</v>
      </c>
      <c r="K147" t="s">
        <v>475</v>
      </c>
      <c r="L147">
        <v>2018</v>
      </c>
      <c r="M147" s="5">
        <v>43135</v>
      </c>
      <c r="N147" s="8">
        <f t="shared" si="2"/>
        <v>2018</v>
      </c>
      <c r="O147" t="s">
        <v>870</v>
      </c>
      <c r="P147">
        <v>1</v>
      </c>
      <c r="Q147" t="s">
        <v>348</v>
      </c>
    </row>
    <row r="148" spans="3:17" x14ac:dyDescent="0.25">
      <c r="C148" t="s">
        <v>653</v>
      </c>
      <c r="D148" t="s">
        <v>816</v>
      </c>
      <c r="E148" s="6" t="s">
        <v>874</v>
      </c>
      <c r="F148" t="s">
        <v>349</v>
      </c>
      <c r="G148" t="s">
        <v>80</v>
      </c>
      <c r="H148" s="5">
        <v>43375</v>
      </c>
      <c r="I148" t="s">
        <v>67</v>
      </c>
      <c r="J148" t="s">
        <v>437</v>
      </c>
      <c r="K148" t="s">
        <v>481</v>
      </c>
      <c r="L148">
        <v>2016</v>
      </c>
      <c r="M148" s="5">
        <v>43196</v>
      </c>
      <c r="N148" s="8">
        <f t="shared" si="2"/>
        <v>2018</v>
      </c>
      <c r="O148" t="s">
        <v>870</v>
      </c>
      <c r="P148">
        <v>1</v>
      </c>
      <c r="Q148" t="s">
        <v>350</v>
      </c>
    </row>
    <row r="149" spans="3:17" x14ac:dyDescent="0.25">
      <c r="C149" t="s">
        <v>654</v>
      </c>
      <c r="D149" t="s">
        <v>817</v>
      </c>
      <c r="E149" s="6" t="s">
        <v>874</v>
      </c>
      <c r="F149" t="s">
        <v>351</v>
      </c>
      <c r="G149" t="s">
        <v>47</v>
      </c>
      <c r="H149" s="5">
        <v>43354</v>
      </c>
      <c r="I149" t="s">
        <v>43</v>
      </c>
      <c r="J149" t="s">
        <v>446</v>
      </c>
      <c r="K149" t="s">
        <v>352</v>
      </c>
      <c r="L149">
        <v>2015</v>
      </c>
      <c r="M149" s="5">
        <v>43347</v>
      </c>
      <c r="N149" s="8">
        <f t="shared" si="2"/>
        <v>2018</v>
      </c>
      <c r="O149" t="s">
        <v>870</v>
      </c>
      <c r="P149">
        <v>1</v>
      </c>
      <c r="Q149" t="s">
        <v>353</v>
      </c>
    </row>
    <row r="150" spans="3:17" x14ac:dyDescent="0.25">
      <c r="C150" t="s">
        <v>655</v>
      </c>
      <c r="D150" t="s">
        <v>818</v>
      </c>
      <c r="E150" s="6" t="s">
        <v>874</v>
      </c>
      <c r="F150" t="s">
        <v>354</v>
      </c>
      <c r="G150" t="s">
        <v>42</v>
      </c>
      <c r="H150" s="5">
        <v>43345</v>
      </c>
      <c r="I150" t="s">
        <v>43</v>
      </c>
      <c r="J150" t="s">
        <v>442</v>
      </c>
      <c r="K150" t="s">
        <v>517</v>
      </c>
      <c r="L150">
        <v>2002</v>
      </c>
      <c r="M150" s="5">
        <v>43335</v>
      </c>
      <c r="N150" s="8">
        <f t="shared" si="2"/>
        <v>2018</v>
      </c>
      <c r="O150" t="s">
        <v>870</v>
      </c>
      <c r="P150">
        <v>1</v>
      </c>
      <c r="Q150" t="s">
        <v>355</v>
      </c>
    </row>
    <row r="151" spans="3:17" x14ac:dyDescent="0.25">
      <c r="C151" t="s">
        <v>656</v>
      </c>
      <c r="D151" t="s">
        <v>819</v>
      </c>
      <c r="E151" s="6" t="s">
        <v>874</v>
      </c>
      <c r="F151" t="s">
        <v>357</v>
      </c>
      <c r="G151" t="s">
        <v>120</v>
      </c>
      <c r="H151" s="5">
        <v>43335</v>
      </c>
      <c r="I151" t="s">
        <v>67</v>
      </c>
      <c r="J151" t="s">
        <v>437</v>
      </c>
      <c r="K151" t="s">
        <v>462</v>
      </c>
      <c r="L151">
        <v>2015</v>
      </c>
      <c r="M151" s="5">
        <v>43260</v>
      </c>
      <c r="N151" s="8">
        <f t="shared" si="2"/>
        <v>2018</v>
      </c>
      <c r="O151" t="s">
        <v>870</v>
      </c>
      <c r="P151">
        <v>1</v>
      </c>
      <c r="Q151" t="s">
        <v>358</v>
      </c>
    </row>
    <row r="152" spans="3:17" x14ac:dyDescent="0.25">
      <c r="C152" t="s">
        <v>657</v>
      </c>
      <c r="D152" t="s">
        <v>820</v>
      </c>
      <c r="E152" s="6" t="s">
        <v>874</v>
      </c>
      <c r="F152" t="s">
        <v>359</v>
      </c>
      <c r="G152" t="s">
        <v>129</v>
      </c>
      <c r="H152" s="5">
        <v>43332</v>
      </c>
      <c r="I152" t="s">
        <v>43</v>
      </c>
      <c r="J152" t="s">
        <v>446</v>
      </c>
      <c r="K152" t="s">
        <v>57</v>
      </c>
      <c r="L152">
        <v>2015</v>
      </c>
      <c r="M152" s="5">
        <v>43273</v>
      </c>
      <c r="N152" s="8">
        <f t="shared" si="2"/>
        <v>2018</v>
      </c>
      <c r="O152" t="s">
        <v>870</v>
      </c>
      <c r="P152">
        <v>1</v>
      </c>
      <c r="Q152" t="s">
        <v>360</v>
      </c>
    </row>
    <row r="153" spans="3:17" x14ac:dyDescent="0.25">
      <c r="C153" t="s">
        <v>658</v>
      </c>
      <c r="D153" t="s">
        <v>821</v>
      </c>
      <c r="E153" s="6" t="s">
        <v>874</v>
      </c>
      <c r="F153" t="s">
        <v>361</v>
      </c>
      <c r="G153" t="s">
        <v>98</v>
      </c>
      <c r="H153" s="5">
        <v>43329</v>
      </c>
      <c r="I153" t="s">
        <v>43</v>
      </c>
      <c r="J153" t="s">
        <v>60</v>
      </c>
      <c r="K153" t="s">
        <v>461</v>
      </c>
      <c r="L153">
        <v>2015</v>
      </c>
      <c r="M153" s="5">
        <v>43315</v>
      </c>
      <c r="N153" s="8">
        <f t="shared" si="2"/>
        <v>2018</v>
      </c>
      <c r="O153" t="s">
        <v>870</v>
      </c>
      <c r="P153">
        <v>2</v>
      </c>
      <c r="Q153" t="s">
        <v>362</v>
      </c>
    </row>
    <row r="154" spans="3:17" x14ac:dyDescent="0.25">
      <c r="C154" t="s">
        <v>659</v>
      </c>
      <c r="D154" t="s">
        <v>822</v>
      </c>
      <c r="E154" s="6" t="s">
        <v>874</v>
      </c>
      <c r="F154" t="s">
        <v>363</v>
      </c>
      <c r="G154" t="s">
        <v>49</v>
      </c>
      <c r="H154" s="5">
        <v>43328</v>
      </c>
      <c r="I154" t="s">
        <v>43</v>
      </c>
      <c r="J154" t="s">
        <v>434</v>
      </c>
      <c r="K154" t="s">
        <v>518</v>
      </c>
      <c r="L154">
        <v>2018</v>
      </c>
      <c r="M154" s="5">
        <v>43301</v>
      </c>
      <c r="N154" s="8">
        <f t="shared" si="2"/>
        <v>2018</v>
      </c>
      <c r="O154" t="s">
        <v>870</v>
      </c>
      <c r="P154">
        <v>1</v>
      </c>
      <c r="Q154" t="s">
        <v>364</v>
      </c>
    </row>
    <row r="155" spans="3:17" x14ac:dyDescent="0.25">
      <c r="C155" t="s">
        <v>560</v>
      </c>
      <c r="D155" t="s">
        <v>823</v>
      </c>
      <c r="E155" s="6" t="s">
        <v>874</v>
      </c>
      <c r="F155" t="s">
        <v>365</v>
      </c>
      <c r="G155" t="s">
        <v>63</v>
      </c>
      <c r="H155" s="5">
        <v>43327</v>
      </c>
      <c r="I155" t="s">
        <v>67</v>
      </c>
      <c r="J155" t="s">
        <v>437</v>
      </c>
      <c r="K155" t="s">
        <v>481</v>
      </c>
      <c r="L155">
        <v>2017</v>
      </c>
      <c r="M155" s="5">
        <v>43326</v>
      </c>
      <c r="N155" s="8">
        <f t="shared" si="2"/>
        <v>2018</v>
      </c>
      <c r="O155" t="s">
        <v>870</v>
      </c>
      <c r="P155">
        <v>1</v>
      </c>
      <c r="Q155" t="s">
        <v>366</v>
      </c>
    </row>
    <row r="156" spans="3:17" x14ac:dyDescent="0.25">
      <c r="C156" t="s">
        <v>660</v>
      </c>
      <c r="D156" t="s">
        <v>824</v>
      </c>
      <c r="E156" s="6" t="s">
        <v>874</v>
      </c>
      <c r="F156" t="s">
        <v>367</v>
      </c>
      <c r="G156" t="s">
        <v>36</v>
      </c>
      <c r="H156" s="5">
        <v>43325</v>
      </c>
      <c r="I156" t="s">
        <v>81</v>
      </c>
      <c r="J156" t="s">
        <v>435</v>
      </c>
      <c r="K156" t="s">
        <v>519</v>
      </c>
      <c r="L156">
        <v>2013</v>
      </c>
      <c r="M156" s="5">
        <v>43323</v>
      </c>
      <c r="N156" s="8">
        <f t="shared" si="2"/>
        <v>2018</v>
      </c>
      <c r="O156" t="s">
        <v>870</v>
      </c>
      <c r="P156">
        <v>1</v>
      </c>
      <c r="Q156" t="s">
        <v>368</v>
      </c>
    </row>
    <row r="157" spans="3:17" x14ac:dyDescent="0.25">
      <c r="C157" t="s">
        <v>661</v>
      </c>
      <c r="D157" t="s">
        <v>825</v>
      </c>
      <c r="E157" s="6" t="s">
        <v>874</v>
      </c>
      <c r="F157" t="s">
        <v>369</v>
      </c>
      <c r="G157" t="s">
        <v>370</v>
      </c>
      <c r="H157" s="5">
        <v>43321</v>
      </c>
      <c r="I157" t="s">
        <v>43</v>
      </c>
      <c r="J157" t="s">
        <v>60</v>
      </c>
      <c r="K157" t="s">
        <v>520</v>
      </c>
      <c r="L157">
        <v>2016</v>
      </c>
      <c r="M157" s="5">
        <v>43163</v>
      </c>
      <c r="N157" s="8">
        <f t="shared" si="2"/>
        <v>2018</v>
      </c>
      <c r="O157" t="s">
        <v>870</v>
      </c>
      <c r="P157">
        <v>1</v>
      </c>
      <c r="Q157" t="s">
        <v>371</v>
      </c>
    </row>
    <row r="158" spans="3:17" x14ac:dyDescent="0.25">
      <c r="C158" t="s">
        <v>662</v>
      </c>
      <c r="D158" t="s">
        <v>734</v>
      </c>
      <c r="E158" s="6" t="s">
        <v>874</v>
      </c>
      <c r="F158" t="s">
        <v>372</v>
      </c>
      <c r="G158" t="s">
        <v>132</v>
      </c>
      <c r="H158" s="5">
        <v>43311</v>
      </c>
      <c r="I158" t="s">
        <v>43</v>
      </c>
      <c r="J158" t="s">
        <v>446</v>
      </c>
      <c r="K158" t="s">
        <v>373</v>
      </c>
      <c r="L158">
        <v>2013</v>
      </c>
      <c r="M158" s="5">
        <v>42446</v>
      </c>
      <c r="N158" s="8">
        <f t="shared" si="2"/>
        <v>2016</v>
      </c>
      <c r="O158" t="s">
        <v>870</v>
      </c>
      <c r="P158">
        <v>1</v>
      </c>
      <c r="Q158" t="s">
        <v>374</v>
      </c>
    </row>
    <row r="159" spans="3:17" x14ac:dyDescent="0.25">
      <c r="C159" t="s">
        <v>663</v>
      </c>
      <c r="D159" t="s">
        <v>826</v>
      </c>
      <c r="E159" s="6" t="s">
        <v>874</v>
      </c>
      <c r="F159" t="s">
        <v>263</v>
      </c>
      <c r="G159" t="s">
        <v>52</v>
      </c>
      <c r="H159" s="5">
        <v>43308</v>
      </c>
      <c r="I159" t="s">
        <v>67</v>
      </c>
      <c r="J159" t="s">
        <v>450</v>
      </c>
      <c r="K159" t="s">
        <v>521</v>
      </c>
      <c r="L159">
        <v>2017</v>
      </c>
      <c r="M159" s="5">
        <v>43262</v>
      </c>
      <c r="N159" s="8">
        <f t="shared" si="2"/>
        <v>2018</v>
      </c>
      <c r="O159" t="s">
        <v>870</v>
      </c>
      <c r="P159">
        <v>2</v>
      </c>
      <c r="Q159" t="s">
        <v>375</v>
      </c>
    </row>
    <row r="160" spans="3:17" x14ac:dyDescent="0.25">
      <c r="C160" t="s">
        <v>622</v>
      </c>
      <c r="D160" t="s">
        <v>828</v>
      </c>
      <c r="E160" s="6" t="s">
        <v>874</v>
      </c>
      <c r="F160" t="s">
        <v>153</v>
      </c>
      <c r="G160" t="s">
        <v>74</v>
      </c>
      <c r="H160" s="5">
        <v>43306</v>
      </c>
      <c r="I160" t="s">
        <v>312</v>
      </c>
      <c r="J160" t="s">
        <v>451</v>
      </c>
      <c r="K160" t="s">
        <v>523</v>
      </c>
      <c r="L160">
        <v>2012</v>
      </c>
      <c r="M160" s="5">
        <v>43257</v>
      </c>
      <c r="N160" s="8">
        <f t="shared" si="2"/>
        <v>2018</v>
      </c>
      <c r="O160" t="s">
        <v>870</v>
      </c>
      <c r="P160">
        <v>1</v>
      </c>
      <c r="Q160" t="s">
        <v>377</v>
      </c>
    </row>
    <row r="161" spans="3:17" x14ac:dyDescent="0.25">
      <c r="C161" t="s">
        <v>664</v>
      </c>
      <c r="D161" t="s">
        <v>829</v>
      </c>
      <c r="E161" s="6" t="s">
        <v>874</v>
      </c>
      <c r="F161" t="s">
        <v>378</v>
      </c>
      <c r="G161" t="s">
        <v>39</v>
      </c>
      <c r="H161" s="5">
        <v>43301</v>
      </c>
      <c r="I161" t="s">
        <v>67</v>
      </c>
      <c r="J161" t="s">
        <v>437</v>
      </c>
      <c r="K161" t="s">
        <v>524</v>
      </c>
      <c r="L161">
        <v>2018</v>
      </c>
      <c r="M161" s="5">
        <v>43268</v>
      </c>
      <c r="N161" s="8">
        <f t="shared" si="2"/>
        <v>2018</v>
      </c>
      <c r="O161" t="s">
        <v>870</v>
      </c>
      <c r="P161">
        <v>1</v>
      </c>
      <c r="Q161" t="s">
        <v>379</v>
      </c>
    </row>
    <row r="162" spans="3:17" x14ac:dyDescent="0.25">
      <c r="C162" t="s">
        <v>578</v>
      </c>
      <c r="D162" t="s">
        <v>830</v>
      </c>
      <c r="E162" s="6" t="s">
        <v>874</v>
      </c>
      <c r="F162" t="s">
        <v>380</v>
      </c>
      <c r="G162" t="s">
        <v>135</v>
      </c>
      <c r="H162" s="5">
        <v>43300</v>
      </c>
      <c r="I162" t="s">
        <v>67</v>
      </c>
      <c r="J162" t="s">
        <v>437</v>
      </c>
      <c r="K162" t="s">
        <v>525</v>
      </c>
      <c r="L162">
        <v>2016</v>
      </c>
      <c r="M162" s="5">
        <v>43194</v>
      </c>
      <c r="N162" s="8">
        <f t="shared" si="2"/>
        <v>2018</v>
      </c>
      <c r="O162" t="s">
        <v>870</v>
      </c>
      <c r="P162">
        <v>1</v>
      </c>
      <c r="Q162" t="s">
        <v>381</v>
      </c>
    </row>
    <row r="163" spans="3:17" x14ac:dyDescent="0.25">
      <c r="C163" t="s">
        <v>665</v>
      </c>
      <c r="D163" t="s">
        <v>579</v>
      </c>
      <c r="E163" s="6" t="s">
        <v>874</v>
      </c>
      <c r="F163" t="s">
        <v>382</v>
      </c>
      <c r="G163" t="s">
        <v>129</v>
      </c>
      <c r="H163" s="5">
        <v>43284</v>
      </c>
      <c r="I163" t="s">
        <v>43</v>
      </c>
      <c r="J163" t="s">
        <v>60</v>
      </c>
      <c r="K163" t="s">
        <v>461</v>
      </c>
      <c r="L163">
        <v>2015</v>
      </c>
      <c r="M163" s="5">
        <v>43245</v>
      </c>
      <c r="N163" s="8">
        <f t="shared" si="2"/>
        <v>2018</v>
      </c>
      <c r="O163" t="s">
        <v>870</v>
      </c>
      <c r="P163">
        <v>4</v>
      </c>
      <c r="Q163" t="s">
        <v>383</v>
      </c>
    </row>
    <row r="164" spans="3:17" x14ac:dyDescent="0.25">
      <c r="C164" t="s">
        <v>666</v>
      </c>
      <c r="D164" t="s">
        <v>831</v>
      </c>
      <c r="E164" s="6" t="s">
        <v>874</v>
      </c>
      <c r="F164" t="s">
        <v>384</v>
      </c>
      <c r="G164" t="s">
        <v>33</v>
      </c>
      <c r="H164" s="5">
        <v>43283</v>
      </c>
      <c r="I164" t="s">
        <v>43</v>
      </c>
      <c r="J164" t="s">
        <v>446</v>
      </c>
      <c r="K164" t="s">
        <v>57</v>
      </c>
      <c r="L164">
        <v>2018</v>
      </c>
      <c r="M164" s="5">
        <v>43233</v>
      </c>
      <c r="N164" s="8">
        <f t="shared" si="2"/>
        <v>2018</v>
      </c>
      <c r="O164" t="s">
        <v>870</v>
      </c>
      <c r="P164">
        <v>1</v>
      </c>
      <c r="Q164" t="s">
        <v>385</v>
      </c>
    </row>
    <row r="165" spans="3:17" x14ac:dyDescent="0.25">
      <c r="C165" t="s">
        <v>667</v>
      </c>
      <c r="D165" t="s">
        <v>832</v>
      </c>
      <c r="E165" s="6" t="s">
        <v>874</v>
      </c>
      <c r="F165" t="s">
        <v>386</v>
      </c>
      <c r="G165" t="s">
        <v>135</v>
      </c>
      <c r="H165" s="5">
        <v>43283</v>
      </c>
      <c r="I165" t="s">
        <v>43</v>
      </c>
      <c r="J165" t="s">
        <v>446</v>
      </c>
      <c r="K165" t="s">
        <v>458</v>
      </c>
      <c r="L165">
        <v>2014</v>
      </c>
      <c r="M165" s="5">
        <v>42931</v>
      </c>
      <c r="N165" s="8">
        <f t="shared" si="2"/>
        <v>2017</v>
      </c>
      <c r="O165" t="s">
        <v>870</v>
      </c>
      <c r="P165">
        <v>4</v>
      </c>
      <c r="Q165" t="s">
        <v>387</v>
      </c>
    </row>
    <row r="166" spans="3:17" x14ac:dyDescent="0.25">
      <c r="C166" t="s">
        <v>592</v>
      </c>
      <c r="D166" t="s">
        <v>833</v>
      </c>
      <c r="E166" s="6" t="s">
        <v>874</v>
      </c>
      <c r="F166" t="s">
        <v>388</v>
      </c>
      <c r="G166" t="s">
        <v>95</v>
      </c>
      <c r="H166" s="5">
        <v>43279</v>
      </c>
      <c r="I166" t="s">
        <v>43</v>
      </c>
      <c r="J166" t="s">
        <v>446</v>
      </c>
      <c r="K166" t="s">
        <v>526</v>
      </c>
      <c r="L166">
        <v>2015</v>
      </c>
      <c r="M166" s="5">
        <v>42674</v>
      </c>
      <c r="N166" s="8">
        <f t="shared" si="2"/>
        <v>2016</v>
      </c>
      <c r="O166" t="s">
        <v>870</v>
      </c>
      <c r="P166">
        <v>1</v>
      </c>
      <c r="Q166" t="s">
        <v>389</v>
      </c>
    </row>
    <row r="167" spans="3:17" x14ac:dyDescent="0.25">
      <c r="C167" t="s">
        <v>668</v>
      </c>
      <c r="D167" t="s">
        <v>834</v>
      </c>
      <c r="E167" s="6" t="s">
        <v>874</v>
      </c>
      <c r="F167" t="s">
        <v>390</v>
      </c>
      <c r="G167" t="s">
        <v>63</v>
      </c>
      <c r="H167" s="5">
        <v>43270</v>
      </c>
      <c r="I167" t="s">
        <v>161</v>
      </c>
      <c r="J167" t="s">
        <v>439</v>
      </c>
      <c r="K167" t="s">
        <v>527</v>
      </c>
      <c r="L167">
        <v>2018</v>
      </c>
      <c r="M167" s="5">
        <v>43254</v>
      </c>
      <c r="N167" s="8">
        <f t="shared" si="2"/>
        <v>2018</v>
      </c>
      <c r="O167" t="s">
        <v>870</v>
      </c>
      <c r="P167">
        <v>1</v>
      </c>
      <c r="Q167" t="s">
        <v>391</v>
      </c>
    </row>
    <row r="168" spans="3:17" x14ac:dyDescent="0.25">
      <c r="C168" t="s">
        <v>585</v>
      </c>
      <c r="D168" t="s">
        <v>835</v>
      </c>
      <c r="E168" s="6" t="s">
        <v>874</v>
      </c>
      <c r="F168" t="s">
        <v>392</v>
      </c>
      <c r="G168" t="s">
        <v>49</v>
      </c>
      <c r="H168" s="5">
        <v>43257</v>
      </c>
      <c r="I168" t="s">
        <v>43</v>
      </c>
      <c r="J168" t="s">
        <v>446</v>
      </c>
      <c r="K168" t="s">
        <v>458</v>
      </c>
      <c r="L168">
        <v>2016</v>
      </c>
      <c r="M168" s="5">
        <v>43237</v>
      </c>
      <c r="N168" s="8">
        <f t="shared" si="2"/>
        <v>2018</v>
      </c>
      <c r="O168" t="s">
        <v>870</v>
      </c>
      <c r="P168">
        <v>1</v>
      </c>
      <c r="Q168" t="s">
        <v>393</v>
      </c>
    </row>
    <row r="169" spans="3:17" x14ac:dyDescent="0.25">
      <c r="C169" t="s">
        <v>669</v>
      </c>
      <c r="D169" t="s">
        <v>836</v>
      </c>
      <c r="E169" s="6" t="s">
        <v>874</v>
      </c>
      <c r="F169" t="s">
        <v>394</v>
      </c>
      <c r="G169" t="s">
        <v>395</v>
      </c>
      <c r="H169" s="5">
        <v>43257</v>
      </c>
      <c r="I169" t="s">
        <v>67</v>
      </c>
      <c r="J169" t="s">
        <v>437</v>
      </c>
      <c r="K169" t="s">
        <v>524</v>
      </c>
      <c r="L169">
        <v>2013</v>
      </c>
      <c r="M169" s="5">
        <v>43078</v>
      </c>
      <c r="N169" s="8">
        <f t="shared" si="2"/>
        <v>2017</v>
      </c>
      <c r="O169" t="s">
        <v>870</v>
      </c>
      <c r="P169">
        <v>2</v>
      </c>
      <c r="Q169" t="s">
        <v>396</v>
      </c>
    </row>
    <row r="170" spans="3:17" x14ac:dyDescent="0.25">
      <c r="C170" t="s">
        <v>578</v>
      </c>
      <c r="D170" t="s">
        <v>837</v>
      </c>
      <c r="E170" s="6" t="s">
        <v>874</v>
      </c>
      <c r="F170" t="s">
        <v>203</v>
      </c>
      <c r="G170" t="s">
        <v>129</v>
      </c>
      <c r="H170" s="5">
        <v>43256</v>
      </c>
      <c r="I170" t="s">
        <v>43</v>
      </c>
      <c r="J170" t="s">
        <v>446</v>
      </c>
      <c r="K170" t="s">
        <v>460</v>
      </c>
      <c r="L170">
        <v>2014</v>
      </c>
      <c r="M170" s="5">
        <v>42312</v>
      </c>
      <c r="N170" s="8">
        <f t="shared" si="2"/>
        <v>2015</v>
      </c>
      <c r="O170" t="s">
        <v>870</v>
      </c>
      <c r="P170">
        <v>2</v>
      </c>
      <c r="Q170" t="s">
        <v>397</v>
      </c>
    </row>
    <row r="171" spans="3:17" x14ac:dyDescent="0.25">
      <c r="C171" t="s">
        <v>670</v>
      </c>
      <c r="D171" t="s">
        <v>838</v>
      </c>
      <c r="E171" s="6" t="s">
        <v>874</v>
      </c>
      <c r="F171" t="s">
        <v>398</v>
      </c>
      <c r="G171" t="s">
        <v>63</v>
      </c>
      <c r="H171" s="5">
        <v>43256</v>
      </c>
      <c r="I171" t="s">
        <v>30</v>
      </c>
      <c r="J171" t="s">
        <v>430</v>
      </c>
      <c r="K171" t="s">
        <v>453</v>
      </c>
      <c r="L171">
        <v>2012</v>
      </c>
      <c r="M171" s="5">
        <v>43255</v>
      </c>
      <c r="N171" s="8">
        <f t="shared" si="2"/>
        <v>2018</v>
      </c>
      <c r="O171" t="s">
        <v>870</v>
      </c>
      <c r="P171">
        <v>1</v>
      </c>
      <c r="Q171" t="s">
        <v>399</v>
      </c>
    </row>
    <row r="172" spans="3:17" x14ac:dyDescent="0.25">
      <c r="C172" t="s">
        <v>671</v>
      </c>
      <c r="D172" t="s">
        <v>839</v>
      </c>
      <c r="E172" s="6" t="s">
        <v>874</v>
      </c>
      <c r="F172" t="s">
        <v>400</v>
      </c>
      <c r="G172" t="s">
        <v>253</v>
      </c>
      <c r="H172" s="5">
        <v>43252</v>
      </c>
      <c r="I172" t="s">
        <v>30</v>
      </c>
      <c r="J172" t="s">
        <v>436</v>
      </c>
      <c r="K172" t="s">
        <v>528</v>
      </c>
      <c r="L172">
        <v>2016</v>
      </c>
      <c r="M172" s="5">
        <v>42672</v>
      </c>
      <c r="N172" s="8">
        <f t="shared" si="2"/>
        <v>2016</v>
      </c>
      <c r="O172" t="s">
        <v>870</v>
      </c>
      <c r="P172">
        <v>1</v>
      </c>
      <c r="Q172" t="s">
        <v>401</v>
      </c>
    </row>
    <row r="173" spans="3:17" x14ac:dyDescent="0.25">
      <c r="C173" t="s">
        <v>672</v>
      </c>
      <c r="D173" t="s">
        <v>840</v>
      </c>
      <c r="E173" s="6" t="s">
        <v>874</v>
      </c>
      <c r="F173" t="s">
        <v>402</v>
      </c>
      <c r="G173" t="s">
        <v>356</v>
      </c>
      <c r="H173" s="5">
        <v>43248</v>
      </c>
      <c r="I173" t="s">
        <v>43</v>
      </c>
      <c r="J173" t="s">
        <v>446</v>
      </c>
      <c r="K173" t="s">
        <v>529</v>
      </c>
      <c r="L173">
        <v>2013</v>
      </c>
      <c r="M173" s="5">
        <v>42790</v>
      </c>
      <c r="N173" s="8">
        <f t="shared" si="2"/>
        <v>2017</v>
      </c>
      <c r="O173" t="s">
        <v>870</v>
      </c>
      <c r="P173">
        <v>2</v>
      </c>
      <c r="Q173" t="s">
        <v>403</v>
      </c>
    </row>
    <row r="174" spans="3:17" x14ac:dyDescent="0.25">
      <c r="C174" t="s">
        <v>673</v>
      </c>
      <c r="D174" t="s">
        <v>841</v>
      </c>
      <c r="E174" s="6" t="s">
        <v>874</v>
      </c>
      <c r="F174" t="s">
        <v>404</v>
      </c>
      <c r="G174" t="s">
        <v>135</v>
      </c>
      <c r="H174" s="5">
        <v>43245</v>
      </c>
      <c r="I174" t="s">
        <v>81</v>
      </c>
      <c r="J174" t="s">
        <v>435</v>
      </c>
      <c r="K174" t="s">
        <v>466</v>
      </c>
      <c r="L174">
        <v>2017</v>
      </c>
      <c r="M174" s="5">
        <v>43240</v>
      </c>
      <c r="N174" s="8">
        <f t="shared" si="2"/>
        <v>2018</v>
      </c>
      <c r="O174" t="s">
        <v>870</v>
      </c>
      <c r="P174">
        <v>2</v>
      </c>
      <c r="Q174" t="s">
        <v>405</v>
      </c>
    </row>
    <row r="175" spans="3:17" x14ac:dyDescent="0.25">
      <c r="C175" t="s">
        <v>674</v>
      </c>
      <c r="D175" t="s">
        <v>842</v>
      </c>
      <c r="E175" s="6" t="s">
        <v>874</v>
      </c>
      <c r="F175" t="s">
        <v>406</v>
      </c>
      <c r="G175" t="s">
        <v>129</v>
      </c>
      <c r="H175" s="5">
        <v>43243</v>
      </c>
      <c r="I175" t="s">
        <v>43</v>
      </c>
      <c r="J175" t="s">
        <v>446</v>
      </c>
      <c r="K175" t="s">
        <v>407</v>
      </c>
      <c r="L175">
        <v>2017</v>
      </c>
      <c r="M175" s="5">
        <v>43141</v>
      </c>
      <c r="N175" s="8">
        <f t="shared" si="2"/>
        <v>2018</v>
      </c>
      <c r="O175" t="s">
        <v>870</v>
      </c>
      <c r="P175">
        <v>7</v>
      </c>
      <c r="Q175" t="s">
        <v>408</v>
      </c>
    </row>
    <row r="176" spans="3:17" x14ac:dyDescent="0.25">
      <c r="C176" t="s">
        <v>559</v>
      </c>
      <c r="D176" t="s">
        <v>843</v>
      </c>
      <c r="E176" s="6" t="s">
        <v>874</v>
      </c>
      <c r="F176" t="s">
        <v>409</v>
      </c>
      <c r="G176" t="s">
        <v>80</v>
      </c>
      <c r="H176" s="5">
        <v>43242</v>
      </c>
      <c r="I176" t="s">
        <v>43</v>
      </c>
      <c r="J176" t="s">
        <v>60</v>
      </c>
      <c r="K176" t="s">
        <v>461</v>
      </c>
      <c r="L176">
        <v>2015</v>
      </c>
      <c r="M176" s="5">
        <v>43221</v>
      </c>
      <c r="N176" s="8">
        <f t="shared" si="2"/>
        <v>2018</v>
      </c>
      <c r="O176" t="s">
        <v>870</v>
      </c>
      <c r="P176">
        <v>2</v>
      </c>
      <c r="Q176" t="s">
        <v>410</v>
      </c>
    </row>
    <row r="177" spans="3:17" x14ac:dyDescent="0.25">
      <c r="C177" t="s">
        <v>560</v>
      </c>
      <c r="D177" t="s">
        <v>844</v>
      </c>
      <c r="E177" s="6" t="s">
        <v>874</v>
      </c>
      <c r="F177" t="s">
        <v>62</v>
      </c>
      <c r="G177" t="s">
        <v>63</v>
      </c>
      <c r="H177" s="5">
        <v>43241</v>
      </c>
      <c r="I177" t="s">
        <v>30</v>
      </c>
      <c r="J177" t="s">
        <v>436</v>
      </c>
      <c r="K177" t="s">
        <v>495</v>
      </c>
      <c r="L177">
        <v>2011</v>
      </c>
      <c r="M177" s="5">
        <v>43194</v>
      </c>
      <c r="N177" s="8">
        <f t="shared" si="2"/>
        <v>2018</v>
      </c>
      <c r="O177" t="s">
        <v>870</v>
      </c>
      <c r="P177">
        <v>3</v>
      </c>
      <c r="Q177" t="s">
        <v>411</v>
      </c>
    </row>
    <row r="178" spans="3:17" x14ac:dyDescent="0.25">
      <c r="C178" t="s">
        <v>675</v>
      </c>
      <c r="D178" t="s">
        <v>845</v>
      </c>
      <c r="E178" s="6" t="s">
        <v>874</v>
      </c>
      <c r="F178" t="s">
        <v>412</v>
      </c>
      <c r="G178" t="s">
        <v>39</v>
      </c>
      <c r="H178" s="5">
        <v>43235</v>
      </c>
      <c r="I178" t="s">
        <v>43</v>
      </c>
      <c r="J178" t="s">
        <v>446</v>
      </c>
      <c r="K178" t="s">
        <v>530</v>
      </c>
      <c r="L178">
        <v>2017</v>
      </c>
      <c r="M178" s="5">
        <v>43214</v>
      </c>
      <c r="N178" s="8">
        <f t="shared" si="2"/>
        <v>2018</v>
      </c>
      <c r="O178" t="s">
        <v>870</v>
      </c>
      <c r="P178">
        <v>2</v>
      </c>
      <c r="Q178" t="s">
        <v>413</v>
      </c>
    </row>
    <row r="179" spans="3:17" x14ac:dyDescent="0.25">
      <c r="C179" t="s">
        <v>676</v>
      </c>
      <c r="D179" t="s">
        <v>846</v>
      </c>
      <c r="E179" s="6" t="s">
        <v>874</v>
      </c>
      <c r="F179" t="s">
        <v>414</v>
      </c>
      <c r="G179" t="s">
        <v>63</v>
      </c>
      <c r="H179" s="5">
        <v>43235</v>
      </c>
      <c r="I179" t="s">
        <v>123</v>
      </c>
      <c r="J179" t="s">
        <v>438</v>
      </c>
      <c r="K179" t="s">
        <v>531</v>
      </c>
      <c r="L179">
        <v>2018</v>
      </c>
      <c r="M179" s="5">
        <v>43172</v>
      </c>
      <c r="N179" s="8">
        <f t="shared" si="2"/>
        <v>2018</v>
      </c>
      <c r="O179" t="s">
        <v>870</v>
      </c>
      <c r="P179">
        <v>5</v>
      </c>
      <c r="Q179" t="s">
        <v>415</v>
      </c>
    </row>
    <row r="180" spans="3:17" x14ac:dyDescent="0.25">
      <c r="C180" t="s">
        <v>677</v>
      </c>
      <c r="D180" t="s">
        <v>847</v>
      </c>
      <c r="E180" s="6" t="s">
        <v>874</v>
      </c>
      <c r="F180" t="s">
        <v>416</v>
      </c>
      <c r="G180" t="s">
        <v>33</v>
      </c>
      <c r="H180" s="5">
        <v>43234</v>
      </c>
      <c r="I180" t="s">
        <v>43</v>
      </c>
      <c r="J180" t="s">
        <v>445</v>
      </c>
      <c r="K180" t="s">
        <v>500</v>
      </c>
      <c r="L180">
        <v>2015</v>
      </c>
      <c r="M180" s="5">
        <v>43192</v>
      </c>
      <c r="N180" s="8">
        <f t="shared" si="2"/>
        <v>2018</v>
      </c>
      <c r="O180" t="s">
        <v>870</v>
      </c>
      <c r="P180">
        <v>2</v>
      </c>
      <c r="Q180" t="s">
        <v>417</v>
      </c>
    </row>
    <row r="181" spans="3:17" x14ac:dyDescent="0.25">
      <c r="C181" t="s">
        <v>678</v>
      </c>
      <c r="D181" t="s">
        <v>848</v>
      </c>
      <c r="E181" s="6" t="s">
        <v>874</v>
      </c>
      <c r="F181" t="s">
        <v>418</v>
      </c>
      <c r="G181" t="s">
        <v>63</v>
      </c>
      <c r="H181" s="5">
        <v>43231</v>
      </c>
      <c r="I181" t="s">
        <v>43</v>
      </c>
      <c r="J181" t="s">
        <v>440</v>
      </c>
      <c r="K181" t="s">
        <v>532</v>
      </c>
      <c r="L181">
        <v>2011</v>
      </c>
      <c r="M181" s="5">
        <v>43180</v>
      </c>
      <c r="N181" s="8">
        <f t="shared" si="2"/>
        <v>2018</v>
      </c>
      <c r="O181" t="s">
        <v>870</v>
      </c>
      <c r="P181">
        <v>1</v>
      </c>
      <c r="Q181" t="s">
        <v>419</v>
      </c>
    </row>
    <row r="182" spans="3:17" x14ac:dyDescent="0.25">
      <c r="C182" t="s">
        <v>679</v>
      </c>
      <c r="D182" t="s">
        <v>849</v>
      </c>
      <c r="E182" s="6" t="s">
        <v>874</v>
      </c>
      <c r="F182" t="s">
        <v>420</v>
      </c>
      <c r="G182" t="s">
        <v>74</v>
      </c>
      <c r="H182" s="5">
        <v>43228</v>
      </c>
      <c r="I182" t="s">
        <v>30</v>
      </c>
      <c r="J182" t="s">
        <v>436</v>
      </c>
      <c r="K182" t="s">
        <v>533</v>
      </c>
      <c r="L182">
        <v>2017</v>
      </c>
      <c r="M182" s="5">
        <v>43194</v>
      </c>
      <c r="N182" s="8">
        <f t="shared" si="2"/>
        <v>2018</v>
      </c>
      <c r="O182" t="s">
        <v>870</v>
      </c>
      <c r="P182">
        <v>2</v>
      </c>
      <c r="Q182" t="s">
        <v>421</v>
      </c>
    </row>
    <row r="183" spans="3:17" x14ac:dyDescent="0.25">
      <c r="C183" t="s">
        <v>680</v>
      </c>
      <c r="D183" t="s">
        <v>850</v>
      </c>
      <c r="E183" s="6" t="s">
        <v>874</v>
      </c>
      <c r="F183" t="s">
        <v>237</v>
      </c>
      <c r="G183" t="s">
        <v>238</v>
      </c>
      <c r="H183" s="5">
        <v>43224</v>
      </c>
      <c r="I183" t="s">
        <v>67</v>
      </c>
      <c r="J183" t="s">
        <v>437</v>
      </c>
      <c r="K183" t="s">
        <v>481</v>
      </c>
      <c r="L183">
        <v>2014</v>
      </c>
      <c r="M183" s="5">
        <v>43194</v>
      </c>
      <c r="N183" s="8">
        <f t="shared" si="2"/>
        <v>2018</v>
      </c>
      <c r="O183" t="s">
        <v>870</v>
      </c>
      <c r="P183">
        <v>1</v>
      </c>
      <c r="Q183" t="s">
        <v>422</v>
      </c>
    </row>
    <row r="184" spans="3:17" x14ac:dyDescent="0.25">
      <c r="C184" t="s">
        <v>605</v>
      </c>
      <c r="D184" t="s">
        <v>851</v>
      </c>
      <c r="E184" s="6" t="s">
        <v>874</v>
      </c>
      <c r="F184" t="s">
        <v>423</v>
      </c>
      <c r="G184" t="s">
        <v>248</v>
      </c>
      <c r="H184" s="5">
        <v>43223</v>
      </c>
      <c r="I184" t="s">
        <v>43</v>
      </c>
      <c r="J184" t="s">
        <v>446</v>
      </c>
      <c r="K184" t="s">
        <v>534</v>
      </c>
      <c r="L184">
        <v>2017</v>
      </c>
      <c r="M184" s="5">
        <v>43080</v>
      </c>
      <c r="N184" s="8">
        <f t="shared" si="2"/>
        <v>2017</v>
      </c>
      <c r="O184" t="s">
        <v>870</v>
      </c>
      <c r="P184">
        <v>1</v>
      </c>
      <c r="Q184" t="s">
        <v>424</v>
      </c>
    </row>
    <row r="185" spans="3:17" x14ac:dyDescent="0.25">
      <c r="C185" t="s">
        <v>681</v>
      </c>
      <c r="D185" t="s">
        <v>816</v>
      </c>
      <c r="E185" s="6" t="s">
        <v>874</v>
      </c>
      <c r="F185" t="s">
        <v>349</v>
      </c>
      <c r="G185" t="s">
        <v>80</v>
      </c>
      <c r="H185" s="5">
        <v>43220</v>
      </c>
      <c r="I185" t="s">
        <v>67</v>
      </c>
      <c r="J185" t="s">
        <v>437</v>
      </c>
      <c r="K185" t="s">
        <v>481</v>
      </c>
      <c r="L185">
        <v>2016</v>
      </c>
      <c r="M185" s="5">
        <v>43215</v>
      </c>
      <c r="N185" s="8">
        <f t="shared" si="2"/>
        <v>2018</v>
      </c>
      <c r="O185" t="s">
        <v>870</v>
      </c>
      <c r="P185">
        <v>1</v>
      </c>
      <c r="Q185" t="s">
        <v>425</v>
      </c>
    </row>
    <row r="186" spans="3:17" x14ac:dyDescent="0.25">
      <c r="C186" t="s">
        <v>594</v>
      </c>
      <c r="D186" t="s">
        <v>852</v>
      </c>
      <c r="E186" s="6" t="s">
        <v>874</v>
      </c>
      <c r="F186" t="s">
        <v>426</v>
      </c>
      <c r="G186" t="s">
        <v>63</v>
      </c>
      <c r="H186" s="5">
        <v>43215</v>
      </c>
      <c r="I186" t="s">
        <v>336</v>
      </c>
      <c r="J186" t="s">
        <v>452</v>
      </c>
      <c r="K186" t="s">
        <v>535</v>
      </c>
      <c r="L186">
        <v>2015</v>
      </c>
      <c r="M186" s="5">
        <v>43080</v>
      </c>
      <c r="N186" s="8">
        <f t="shared" si="2"/>
        <v>2017</v>
      </c>
      <c r="O186" t="s">
        <v>870</v>
      </c>
      <c r="P186">
        <v>1</v>
      </c>
      <c r="Q186" t="s">
        <v>427</v>
      </c>
    </row>
    <row r="187" spans="3:17" x14ac:dyDescent="0.25">
      <c r="C187" t="s">
        <v>682</v>
      </c>
      <c r="D187" t="s">
        <v>853</v>
      </c>
      <c r="E187" s="6" t="s">
        <v>874</v>
      </c>
      <c r="F187" t="s">
        <v>428</v>
      </c>
      <c r="G187" t="s">
        <v>289</v>
      </c>
      <c r="H187" s="5">
        <v>43208</v>
      </c>
      <c r="I187" t="s">
        <v>30</v>
      </c>
      <c r="J187" t="s">
        <v>436</v>
      </c>
      <c r="K187" t="s">
        <v>536</v>
      </c>
      <c r="L187">
        <v>2018</v>
      </c>
      <c r="M187" s="5">
        <v>43163</v>
      </c>
      <c r="N187" s="8">
        <f t="shared" si="2"/>
        <v>2018</v>
      </c>
      <c r="O187" t="s">
        <v>870</v>
      </c>
      <c r="P187">
        <v>1</v>
      </c>
      <c r="Q187" t="s">
        <v>429</v>
      </c>
    </row>
  </sheetData>
  <sortState ref="C17:T201">
    <sortCondition ref="M112"/>
  </sortState>
  <hyperlinks>
    <hyperlink ref="E3:E187" r:id="rId1" display="gove@gmail.com" xr:uid="{318BCBF7-B878-4F55-918F-D736BDF2E855}"/>
    <hyperlink ref="E2:E8" r:id="rId2" display="gove@gmail.com" xr:uid="{6BAFC647-96B1-4D07-BA5A-F2262B84CC39}"/>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ystemData"/>
  <dimension ref="A1:M187"/>
  <sheetViews>
    <sheetView workbookViewId="0">
      <selection activeCell="B2" sqref="B2"/>
    </sheetView>
  </sheetViews>
  <sheetFormatPr defaultRowHeight="15" x14ac:dyDescent="0.25"/>
  <cols>
    <col min="1" max="1" width="11.85546875" bestFit="1" customWidth="1"/>
    <col min="2" max="2" width="21.5703125" bestFit="1" customWidth="1"/>
    <col min="9" max="9" width="35.7109375" bestFit="1" customWidth="1"/>
    <col min="10" max="10" width="14.42578125" customWidth="1"/>
    <col min="12" max="12" width="13.7109375" bestFit="1" customWidth="1"/>
  </cols>
  <sheetData>
    <row r="1" spans="1:13" x14ac:dyDescent="0.25">
      <c r="A1" t="s">
        <v>1</v>
      </c>
      <c r="B1" t="s">
        <v>2</v>
      </c>
      <c r="K1" s="3" t="s">
        <v>25</v>
      </c>
    </row>
    <row r="2" spans="1:13" x14ac:dyDescent="0.25">
      <c r="A2" t="s">
        <v>3</v>
      </c>
      <c r="B2" t="s">
        <v>4</v>
      </c>
      <c r="I2" t="s">
        <v>868</v>
      </c>
      <c r="J2" t="s">
        <v>869</v>
      </c>
      <c r="K2" t="s">
        <v>870</v>
      </c>
    </row>
    <row r="3" spans="1:13" x14ac:dyDescent="0.25">
      <c r="A3" t="s">
        <v>5</v>
      </c>
      <c r="B3" t="s">
        <v>6</v>
      </c>
      <c r="I3" t="s">
        <v>868</v>
      </c>
      <c r="J3" t="s">
        <v>869</v>
      </c>
      <c r="K3" t="s">
        <v>870</v>
      </c>
    </row>
    <row r="4" spans="1:13" x14ac:dyDescent="0.25">
      <c r="A4" t="s">
        <v>7</v>
      </c>
      <c r="B4" t="s">
        <v>8</v>
      </c>
      <c r="I4" t="s">
        <v>868</v>
      </c>
      <c r="J4" t="s">
        <v>869</v>
      </c>
      <c r="K4" t="s">
        <v>870</v>
      </c>
    </row>
    <row r="5" spans="1:13" x14ac:dyDescent="0.25">
      <c r="A5" t="s">
        <v>9</v>
      </c>
      <c r="B5" t="s">
        <v>10</v>
      </c>
      <c r="I5" t="s">
        <v>868</v>
      </c>
      <c r="J5" t="s">
        <v>869</v>
      </c>
      <c r="K5" t="s">
        <v>870</v>
      </c>
    </row>
    <row r="6" spans="1:13" x14ac:dyDescent="0.25">
      <c r="A6" t="s">
        <v>11</v>
      </c>
      <c r="B6" t="s">
        <v>12</v>
      </c>
      <c r="I6" t="s">
        <v>868</v>
      </c>
      <c r="J6" t="s">
        <v>869</v>
      </c>
      <c r="K6" t="s">
        <v>870</v>
      </c>
    </row>
    <row r="7" spans="1:13" x14ac:dyDescent="0.25">
      <c r="A7" t="s">
        <v>13</v>
      </c>
      <c r="B7" t="s">
        <v>14</v>
      </c>
      <c r="I7" t="s">
        <v>868</v>
      </c>
      <c r="J7" t="s">
        <v>869</v>
      </c>
      <c r="K7" t="s">
        <v>870</v>
      </c>
    </row>
    <row r="8" spans="1:13" x14ac:dyDescent="0.25">
      <c r="A8" t="s">
        <v>0</v>
      </c>
      <c r="B8" t="s">
        <v>15</v>
      </c>
      <c r="I8" t="s">
        <v>868</v>
      </c>
      <c r="J8" t="s">
        <v>869</v>
      </c>
      <c r="K8" t="s">
        <v>870</v>
      </c>
    </row>
    <row r="9" spans="1:13" x14ac:dyDescent="0.25">
      <c r="A9" t="s">
        <v>16</v>
      </c>
      <c r="B9" t="s">
        <v>17</v>
      </c>
      <c r="I9" t="s">
        <v>868</v>
      </c>
      <c r="J9" t="s">
        <v>869</v>
      </c>
      <c r="K9" t="s">
        <v>870</v>
      </c>
    </row>
    <row r="10" spans="1:13" x14ac:dyDescent="0.25">
      <c r="I10" t="s">
        <v>868</v>
      </c>
      <c r="J10" t="s">
        <v>869</v>
      </c>
      <c r="K10" t="s">
        <v>870</v>
      </c>
      <c r="M10" s="2"/>
    </row>
    <row r="11" spans="1:13" ht="15" customHeight="1" x14ac:dyDescent="0.25">
      <c r="I11" t="s">
        <v>868</v>
      </c>
      <c r="J11" t="s">
        <v>869</v>
      </c>
      <c r="K11" t="s">
        <v>870</v>
      </c>
    </row>
    <row r="12" spans="1:13" x14ac:dyDescent="0.25">
      <c r="I12" t="s">
        <v>868</v>
      </c>
      <c r="J12" t="s">
        <v>869</v>
      </c>
      <c r="K12" t="s">
        <v>870</v>
      </c>
    </row>
    <row r="13" spans="1:13" x14ac:dyDescent="0.25">
      <c r="I13" t="s">
        <v>868</v>
      </c>
      <c r="J13" t="s">
        <v>869</v>
      </c>
      <c r="K13" t="s">
        <v>870</v>
      </c>
    </row>
    <row r="14" spans="1:13" x14ac:dyDescent="0.25">
      <c r="I14" t="s">
        <v>868</v>
      </c>
      <c r="J14" t="s">
        <v>869</v>
      </c>
      <c r="K14" t="s">
        <v>870</v>
      </c>
    </row>
    <row r="15" spans="1:13" x14ac:dyDescent="0.25">
      <c r="I15" t="s">
        <v>868</v>
      </c>
      <c r="J15" t="s">
        <v>869</v>
      </c>
      <c r="K15" t="s">
        <v>870</v>
      </c>
    </row>
    <row r="16" spans="1:13" x14ac:dyDescent="0.25">
      <c r="I16" t="s">
        <v>868</v>
      </c>
      <c r="J16" t="s">
        <v>869</v>
      </c>
      <c r="K16" t="s">
        <v>870</v>
      </c>
    </row>
    <row r="17" spans="9:11" x14ac:dyDescent="0.25">
      <c r="I17" t="s">
        <v>868</v>
      </c>
      <c r="J17" t="s">
        <v>869</v>
      </c>
      <c r="K17" t="s">
        <v>870</v>
      </c>
    </row>
    <row r="18" spans="9:11" x14ac:dyDescent="0.25">
      <c r="I18" t="s">
        <v>868</v>
      </c>
      <c r="J18" t="s">
        <v>869</v>
      </c>
      <c r="K18" t="s">
        <v>870</v>
      </c>
    </row>
    <row r="19" spans="9:11" x14ac:dyDescent="0.25">
      <c r="I19" t="s">
        <v>868</v>
      </c>
      <c r="J19" t="s">
        <v>869</v>
      </c>
      <c r="K19" t="s">
        <v>870</v>
      </c>
    </row>
    <row r="20" spans="9:11" x14ac:dyDescent="0.25">
      <c r="I20" t="s">
        <v>868</v>
      </c>
      <c r="J20" t="s">
        <v>869</v>
      </c>
      <c r="K20" t="s">
        <v>870</v>
      </c>
    </row>
    <row r="21" spans="9:11" x14ac:dyDescent="0.25">
      <c r="I21" t="s">
        <v>868</v>
      </c>
      <c r="J21" t="s">
        <v>869</v>
      </c>
      <c r="K21" t="s">
        <v>870</v>
      </c>
    </row>
    <row r="22" spans="9:11" x14ac:dyDescent="0.25">
      <c r="I22" t="s">
        <v>868</v>
      </c>
      <c r="J22" t="s">
        <v>869</v>
      </c>
      <c r="K22" t="s">
        <v>870</v>
      </c>
    </row>
    <row r="23" spans="9:11" x14ac:dyDescent="0.25">
      <c r="I23" t="s">
        <v>868</v>
      </c>
      <c r="J23" t="s">
        <v>869</v>
      </c>
      <c r="K23" t="s">
        <v>870</v>
      </c>
    </row>
    <row r="24" spans="9:11" x14ac:dyDescent="0.25">
      <c r="I24" t="s">
        <v>868</v>
      </c>
      <c r="J24" t="s">
        <v>869</v>
      </c>
      <c r="K24" t="s">
        <v>870</v>
      </c>
    </row>
    <row r="25" spans="9:11" x14ac:dyDescent="0.25">
      <c r="I25" t="s">
        <v>868</v>
      </c>
      <c r="J25" t="s">
        <v>869</v>
      </c>
      <c r="K25" t="s">
        <v>870</v>
      </c>
    </row>
    <row r="26" spans="9:11" x14ac:dyDescent="0.25">
      <c r="I26" t="s">
        <v>868</v>
      </c>
      <c r="J26" t="s">
        <v>869</v>
      </c>
      <c r="K26" t="s">
        <v>870</v>
      </c>
    </row>
    <row r="27" spans="9:11" x14ac:dyDescent="0.25">
      <c r="I27" t="s">
        <v>868</v>
      </c>
      <c r="J27" t="s">
        <v>869</v>
      </c>
      <c r="K27" t="s">
        <v>870</v>
      </c>
    </row>
    <row r="28" spans="9:11" x14ac:dyDescent="0.25">
      <c r="I28" t="s">
        <v>868</v>
      </c>
      <c r="J28" t="s">
        <v>869</v>
      </c>
      <c r="K28" t="s">
        <v>870</v>
      </c>
    </row>
    <row r="29" spans="9:11" x14ac:dyDescent="0.25">
      <c r="I29" t="s">
        <v>868</v>
      </c>
      <c r="J29" t="s">
        <v>869</v>
      </c>
      <c r="K29" t="s">
        <v>870</v>
      </c>
    </row>
    <row r="30" spans="9:11" x14ac:dyDescent="0.25">
      <c r="I30" t="s">
        <v>868</v>
      </c>
      <c r="J30" t="s">
        <v>869</v>
      </c>
      <c r="K30" t="s">
        <v>870</v>
      </c>
    </row>
    <row r="31" spans="9:11" x14ac:dyDescent="0.25">
      <c r="I31" t="s">
        <v>868</v>
      </c>
      <c r="J31" t="s">
        <v>869</v>
      </c>
      <c r="K31" t="s">
        <v>870</v>
      </c>
    </row>
    <row r="32" spans="9:11" x14ac:dyDescent="0.25">
      <c r="I32" t="s">
        <v>868</v>
      </c>
      <c r="J32" t="s">
        <v>869</v>
      </c>
      <c r="K32" t="s">
        <v>870</v>
      </c>
    </row>
    <row r="33" spans="9:11" x14ac:dyDescent="0.25">
      <c r="I33" t="s">
        <v>868</v>
      </c>
      <c r="J33" t="s">
        <v>869</v>
      </c>
      <c r="K33" t="s">
        <v>870</v>
      </c>
    </row>
    <row r="34" spans="9:11" x14ac:dyDescent="0.25">
      <c r="I34" t="s">
        <v>868</v>
      </c>
      <c r="J34" t="s">
        <v>869</v>
      </c>
      <c r="K34" t="s">
        <v>870</v>
      </c>
    </row>
    <row r="35" spans="9:11" x14ac:dyDescent="0.25">
      <c r="I35" t="s">
        <v>868</v>
      </c>
      <c r="J35" t="s">
        <v>869</v>
      </c>
      <c r="K35" t="s">
        <v>870</v>
      </c>
    </row>
    <row r="36" spans="9:11" x14ac:dyDescent="0.25">
      <c r="I36" t="s">
        <v>868</v>
      </c>
      <c r="J36" t="s">
        <v>869</v>
      </c>
      <c r="K36" t="s">
        <v>870</v>
      </c>
    </row>
    <row r="37" spans="9:11" x14ac:dyDescent="0.25">
      <c r="I37" t="s">
        <v>868</v>
      </c>
      <c r="J37" t="s">
        <v>869</v>
      </c>
      <c r="K37" t="s">
        <v>870</v>
      </c>
    </row>
    <row r="38" spans="9:11" x14ac:dyDescent="0.25">
      <c r="I38" t="s">
        <v>868</v>
      </c>
      <c r="J38" t="s">
        <v>869</v>
      </c>
      <c r="K38" t="s">
        <v>870</v>
      </c>
    </row>
    <row r="39" spans="9:11" x14ac:dyDescent="0.25">
      <c r="I39" t="s">
        <v>868</v>
      </c>
      <c r="J39" t="s">
        <v>869</v>
      </c>
      <c r="K39" t="s">
        <v>870</v>
      </c>
    </row>
    <row r="40" spans="9:11" x14ac:dyDescent="0.25">
      <c r="I40" t="s">
        <v>868</v>
      </c>
      <c r="J40" t="s">
        <v>869</v>
      </c>
      <c r="K40" t="s">
        <v>870</v>
      </c>
    </row>
    <row r="41" spans="9:11" x14ac:dyDescent="0.25">
      <c r="I41" t="s">
        <v>868</v>
      </c>
      <c r="J41" t="s">
        <v>869</v>
      </c>
      <c r="K41" t="s">
        <v>870</v>
      </c>
    </row>
    <row r="42" spans="9:11" x14ac:dyDescent="0.25">
      <c r="I42" t="s">
        <v>868</v>
      </c>
      <c r="J42" t="s">
        <v>869</v>
      </c>
      <c r="K42" t="s">
        <v>870</v>
      </c>
    </row>
    <row r="43" spans="9:11" x14ac:dyDescent="0.25">
      <c r="I43" t="s">
        <v>868</v>
      </c>
      <c r="J43" t="s">
        <v>869</v>
      </c>
      <c r="K43" t="s">
        <v>870</v>
      </c>
    </row>
    <row r="44" spans="9:11" x14ac:dyDescent="0.25">
      <c r="I44" t="s">
        <v>868</v>
      </c>
      <c r="J44" t="s">
        <v>869</v>
      </c>
      <c r="K44" t="s">
        <v>870</v>
      </c>
    </row>
    <row r="45" spans="9:11" x14ac:dyDescent="0.25">
      <c r="I45" t="s">
        <v>868</v>
      </c>
      <c r="J45" t="s">
        <v>869</v>
      </c>
      <c r="K45" t="s">
        <v>870</v>
      </c>
    </row>
    <row r="46" spans="9:11" x14ac:dyDescent="0.25">
      <c r="I46" t="s">
        <v>868</v>
      </c>
      <c r="J46" t="s">
        <v>869</v>
      </c>
      <c r="K46" t="s">
        <v>870</v>
      </c>
    </row>
    <row r="47" spans="9:11" x14ac:dyDescent="0.25">
      <c r="I47" t="s">
        <v>868</v>
      </c>
      <c r="J47" t="s">
        <v>869</v>
      </c>
      <c r="K47" t="s">
        <v>870</v>
      </c>
    </row>
    <row r="48" spans="9:11" x14ac:dyDescent="0.25">
      <c r="I48" t="s">
        <v>868</v>
      </c>
      <c r="J48" t="s">
        <v>869</v>
      </c>
      <c r="K48" t="s">
        <v>870</v>
      </c>
    </row>
    <row r="49" spans="9:11" x14ac:dyDescent="0.25">
      <c r="I49" t="s">
        <v>868</v>
      </c>
      <c r="J49" t="s">
        <v>869</v>
      </c>
      <c r="K49" t="s">
        <v>870</v>
      </c>
    </row>
    <row r="50" spans="9:11" x14ac:dyDescent="0.25">
      <c r="I50" t="s">
        <v>868</v>
      </c>
      <c r="J50" t="s">
        <v>869</v>
      </c>
      <c r="K50" t="s">
        <v>870</v>
      </c>
    </row>
    <row r="51" spans="9:11" x14ac:dyDescent="0.25">
      <c r="I51" t="s">
        <v>868</v>
      </c>
      <c r="J51" t="s">
        <v>869</v>
      </c>
      <c r="K51" t="s">
        <v>870</v>
      </c>
    </row>
    <row r="52" spans="9:11" x14ac:dyDescent="0.25">
      <c r="I52" t="s">
        <v>868</v>
      </c>
      <c r="J52" t="s">
        <v>869</v>
      </c>
      <c r="K52" t="s">
        <v>870</v>
      </c>
    </row>
    <row r="53" spans="9:11" x14ac:dyDescent="0.25">
      <c r="I53" t="s">
        <v>868</v>
      </c>
      <c r="J53" t="s">
        <v>869</v>
      </c>
      <c r="K53" t="s">
        <v>870</v>
      </c>
    </row>
    <row r="54" spans="9:11" x14ac:dyDescent="0.25">
      <c r="I54" t="s">
        <v>868</v>
      </c>
      <c r="J54" t="s">
        <v>869</v>
      </c>
      <c r="K54" t="s">
        <v>870</v>
      </c>
    </row>
    <row r="55" spans="9:11" x14ac:dyDescent="0.25">
      <c r="I55" t="s">
        <v>868</v>
      </c>
      <c r="J55" t="s">
        <v>869</v>
      </c>
      <c r="K55" t="s">
        <v>870</v>
      </c>
    </row>
    <row r="56" spans="9:11" x14ac:dyDescent="0.25">
      <c r="I56" t="s">
        <v>868</v>
      </c>
      <c r="J56" t="s">
        <v>869</v>
      </c>
      <c r="K56" t="s">
        <v>870</v>
      </c>
    </row>
    <row r="57" spans="9:11" x14ac:dyDescent="0.25">
      <c r="I57" t="s">
        <v>868</v>
      </c>
      <c r="J57" t="s">
        <v>869</v>
      </c>
      <c r="K57" t="s">
        <v>870</v>
      </c>
    </row>
    <row r="58" spans="9:11" x14ac:dyDescent="0.25">
      <c r="I58" t="s">
        <v>868</v>
      </c>
      <c r="J58" t="s">
        <v>869</v>
      </c>
      <c r="K58" t="s">
        <v>870</v>
      </c>
    </row>
    <row r="59" spans="9:11" x14ac:dyDescent="0.25">
      <c r="I59" t="s">
        <v>868</v>
      </c>
      <c r="J59" t="s">
        <v>869</v>
      </c>
      <c r="K59" t="s">
        <v>870</v>
      </c>
    </row>
    <row r="60" spans="9:11" x14ac:dyDescent="0.25">
      <c r="I60" t="s">
        <v>868</v>
      </c>
      <c r="J60" t="s">
        <v>869</v>
      </c>
      <c r="K60" t="s">
        <v>870</v>
      </c>
    </row>
    <row r="61" spans="9:11" x14ac:dyDescent="0.25">
      <c r="I61" t="s">
        <v>868</v>
      </c>
      <c r="J61" t="s">
        <v>869</v>
      </c>
      <c r="K61" t="s">
        <v>870</v>
      </c>
    </row>
    <row r="62" spans="9:11" x14ac:dyDescent="0.25">
      <c r="I62" t="s">
        <v>868</v>
      </c>
      <c r="J62" t="s">
        <v>869</v>
      </c>
      <c r="K62" t="s">
        <v>870</v>
      </c>
    </row>
    <row r="63" spans="9:11" x14ac:dyDescent="0.25">
      <c r="I63" t="s">
        <v>868</v>
      </c>
      <c r="J63" t="s">
        <v>869</v>
      </c>
      <c r="K63" t="s">
        <v>870</v>
      </c>
    </row>
    <row r="64" spans="9:11" x14ac:dyDescent="0.25">
      <c r="I64" t="s">
        <v>868</v>
      </c>
      <c r="J64" t="s">
        <v>869</v>
      </c>
      <c r="K64" t="s">
        <v>870</v>
      </c>
    </row>
    <row r="65" spans="9:11" x14ac:dyDescent="0.25">
      <c r="I65" t="s">
        <v>868</v>
      </c>
      <c r="J65" t="s">
        <v>869</v>
      </c>
      <c r="K65" t="s">
        <v>870</v>
      </c>
    </row>
    <row r="66" spans="9:11" x14ac:dyDescent="0.25">
      <c r="I66" t="s">
        <v>868</v>
      </c>
      <c r="J66" t="s">
        <v>869</v>
      </c>
      <c r="K66" t="s">
        <v>870</v>
      </c>
    </row>
    <row r="67" spans="9:11" x14ac:dyDescent="0.25">
      <c r="I67" t="s">
        <v>868</v>
      </c>
      <c r="J67" t="s">
        <v>869</v>
      </c>
      <c r="K67" t="s">
        <v>870</v>
      </c>
    </row>
    <row r="68" spans="9:11" x14ac:dyDescent="0.25">
      <c r="I68" t="s">
        <v>868</v>
      </c>
      <c r="J68" t="s">
        <v>869</v>
      </c>
      <c r="K68" t="s">
        <v>870</v>
      </c>
    </row>
    <row r="69" spans="9:11" x14ac:dyDescent="0.25">
      <c r="I69" t="s">
        <v>868</v>
      </c>
      <c r="J69" t="s">
        <v>869</v>
      </c>
      <c r="K69" t="s">
        <v>870</v>
      </c>
    </row>
    <row r="70" spans="9:11" x14ac:dyDescent="0.25">
      <c r="I70" t="s">
        <v>868</v>
      </c>
      <c r="J70" t="s">
        <v>869</v>
      </c>
      <c r="K70" t="s">
        <v>870</v>
      </c>
    </row>
    <row r="71" spans="9:11" x14ac:dyDescent="0.25">
      <c r="I71" t="s">
        <v>868</v>
      </c>
      <c r="J71" t="s">
        <v>869</v>
      </c>
      <c r="K71" t="s">
        <v>870</v>
      </c>
    </row>
    <row r="72" spans="9:11" x14ac:dyDescent="0.25">
      <c r="I72" t="s">
        <v>868</v>
      </c>
      <c r="J72" t="s">
        <v>869</v>
      </c>
      <c r="K72" t="s">
        <v>870</v>
      </c>
    </row>
    <row r="73" spans="9:11" x14ac:dyDescent="0.25">
      <c r="I73" t="s">
        <v>868</v>
      </c>
      <c r="J73" t="s">
        <v>869</v>
      </c>
      <c r="K73" t="s">
        <v>870</v>
      </c>
    </row>
    <row r="74" spans="9:11" x14ac:dyDescent="0.25">
      <c r="I74" t="s">
        <v>868</v>
      </c>
      <c r="J74" t="s">
        <v>869</v>
      </c>
      <c r="K74" t="s">
        <v>870</v>
      </c>
    </row>
    <row r="75" spans="9:11" x14ac:dyDescent="0.25">
      <c r="I75" t="s">
        <v>868</v>
      </c>
      <c r="J75" t="s">
        <v>869</v>
      </c>
      <c r="K75" t="s">
        <v>870</v>
      </c>
    </row>
    <row r="76" spans="9:11" x14ac:dyDescent="0.25">
      <c r="I76" t="s">
        <v>868</v>
      </c>
      <c r="J76" t="s">
        <v>869</v>
      </c>
      <c r="K76" t="s">
        <v>870</v>
      </c>
    </row>
    <row r="77" spans="9:11" x14ac:dyDescent="0.25">
      <c r="I77" t="s">
        <v>868</v>
      </c>
      <c r="J77" t="s">
        <v>869</v>
      </c>
      <c r="K77" t="s">
        <v>870</v>
      </c>
    </row>
    <row r="78" spans="9:11" x14ac:dyDescent="0.25">
      <c r="I78" t="s">
        <v>868</v>
      </c>
      <c r="J78" t="s">
        <v>869</v>
      </c>
      <c r="K78" t="s">
        <v>870</v>
      </c>
    </row>
    <row r="79" spans="9:11" x14ac:dyDescent="0.25">
      <c r="I79" t="s">
        <v>868</v>
      </c>
      <c r="J79" t="s">
        <v>869</v>
      </c>
      <c r="K79" t="s">
        <v>870</v>
      </c>
    </row>
    <row r="80" spans="9:11" x14ac:dyDescent="0.25">
      <c r="I80" t="s">
        <v>868</v>
      </c>
      <c r="J80" t="s">
        <v>869</v>
      </c>
      <c r="K80" t="s">
        <v>870</v>
      </c>
    </row>
    <row r="81" spans="9:11" x14ac:dyDescent="0.25">
      <c r="I81" t="s">
        <v>868</v>
      </c>
      <c r="J81" t="s">
        <v>869</v>
      </c>
      <c r="K81" t="s">
        <v>870</v>
      </c>
    </row>
    <row r="82" spans="9:11" x14ac:dyDescent="0.25">
      <c r="I82" t="s">
        <v>868</v>
      </c>
      <c r="J82" t="s">
        <v>869</v>
      </c>
      <c r="K82" t="s">
        <v>870</v>
      </c>
    </row>
    <row r="83" spans="9:11" x14ac:dyDescent="0.25">
      <c r="I83" t="s">
        <v>868</v>
      </c>
      <c r="J83" t="s">
        <v>869</v>
      </c>
      <c r="K83" t="s">
        <v>870</v>
      </c>
    </row>
    <row r="84" spans="9:11" x14ac:dyDescent="0.25">
      <c r="I84" t="s">
        <v>868</v>
      </c>
      <c r="J84" t="s">
        <v>869</v>
      </c>
      <c r="K84" t="s">
        <v>870</v>
      </c>
    </row>
    <row r="85" spans="9:11" x14ac:dyDescent="0.25">
      <c r="I85" t="s">
        <v>868</v>
      </c>
      <c r="J85" t="s">
        <v>869</v>
      </c>
      <c r="K85" t="s">
        <v>870</v>
      </c>
    </row>
    <row r="86" spans="9:11" x14ac:dyDescent="0.25">
      <c r="I86" t="s">
        <v>868</v>
      </c>
      <c r="J86" t="s">
        <v>869</v>
      </c>
      <c r="K86" t="s">
        <v>870</v>
      </c>
    </row>
    <row r="87" spans="9:11" x14ac:dyDescent="0.25">
      <c r="I87" t="s">
        <v>868</v>
      </c>
      <c r="J87" t="s">
        <v>869</v>
      </c>
      <c r="K87" t="s">
        <v>870</v>
      </c>
    </row>
    <row r="88" spans="9:11" x14ac:dyDescent="0.25">
      <c r="I88" t="s">
        <v>868</v>
      </c>
      <c r="J88" t="s">
        <v>869</v>
      </c>
      <c r="K88" t="s">
        <v>870</v>
      </c>
    </row>
    <row r="89" spans="9:11" x14ac:dyDescent="0.25">
      <c r="I89" t="s">
        <v>868</v>
      </c>
      <c r="J89" t="s">
        <v>869</v>
      </c>
      <c r="K89" t="s">
        <v>870</v>
      </c>
    </row>
    <row r="90" spans="9:11" x14ac:dyDescent="0.25">
      <c r="I90" t="s">
        <v>868</v>
      </c>
      <c r="J90" t="s">
        <v>869</v>
      </c>
      <c r="K90" t="s">
        <v>870</v>
      </c>
    </row>
    <row r="91" spans="9:11" x14ac:dyDescent="0.25">
      <c r="I91" t="s">
        <v>868</v>
      </c>
      <c r="J91" t="s">
        <v>869</v>
      </c>
      <c r="K91" t="s">
        <v>870</v>
      </c>
    </row>
    <row r="92" spans="9:11" x14ac:dyDescent="0.25">
      <c r="I92" t="s">
        <v>868</v>
      </c>
      <c r="J92" t="s">
        <v>869</v>
      </c>
      <c r="K92" t="s">
        <v>870</v>
      </c>
    </row>
    <row r="93" spans="9:11" x14ac:dyDescent="0.25">
      <c r="I93" t="s">
        <v>868</v>
      </c>
      <c r="J93" t="s">
        <v>869</v>
      </c>
      <c r="K93" t="s">
        <v>870</v>
      </c>
    </row>
    <row r="94" spans="9:11" x14ac:dyDescent="0.25">
      <c r="I94" t="s">
        <v>868</v>
      </c>
      <c r="J94" t="s">
        <v>869</v>
      </c>
      <c r="K94" t="s">
        <v>870</v>
      </c>
    </row>
    <row r="95" spans="9:11" x14ac:dyDescent="0.25">
      <c r="I95" t="s">
        <v>868</v>
      </c>
      <c r="J95" t="s">
        <v>869</v>
      </c>
      <c r="K95" t="s">
        <v>870</v>
      </c>
    </row>
    <row r="96" spans="9:11" x14ac:dyDescent="0.25">
      <c r="I96" t="s">
        <v>868</v>
      </c>
      <c r="J96" t="s">
        <v>869</v>
      </c>
      <c r="K96" t="s">
        <v>870</v>
      </c>
    </row>
    <row r="97" spans="9:11" x14ac:dyDescent="0.25">
      <c r="I97" t="s">
        <v>868</v>
      </c>
      <c r="J97" t="s">
        <v>869</v>
      </c>
      <c r="K97" t="s">
        <v>870</v>
      </c>
    </row>
    <row r="98" spans="9:11" x14ac:dyDescent="0.25">
      <c r="I98" t="s">
        <v>868</v>
      </c>
      <c r="J98" t="s">
        <v>869</v>
      </c>
      <c r="K98" t="s">
        <v>870</v>
      </c>
    </row>
    <row r="99" spans="9:11" x14ac:dyDescent="0.25">
      <c r="I99" t="s">
        <v>868</v>
      </c>
      <c r="J99" t="s">
        <v>869</v>
      </c>
      <c r="K99" t="s">
        <v>870</v>
      </c>
    </row>
    <row r="100" spans="9:11" x14ac:dyDescent="0.25">
      <c r="I100" t="s">
        <v>868</v>
      </c>
      <c r="J100" t="s">
        <v>869</v>
      </c>
      <c r="K100" t="s">
        <v>870</v>
      </c>
    </row>
    <row r="101" spans="9:11" x14ac:dyDescent="0.25">
      <c r="I101" t="s">
        <v>868</v>
      </c>
      <c r="J101" t="s">
        <v>869</v>
      </c>
      <c r="K101" t="s">
        <v>870</v>
      </c>
    </row>
    <row r="102" spans="9:11" x14ac:dyDescent="0.25">
      <c r="I102" t="s">
        <v>868</v>
      </c>
      <c r="J102" t="s">
        <v>869</v>
      </c>
      <c r="K102" t="s">
        <v>870</v>
      </c>
    </row>
    <row r="103" spans="9:11" x14ac:dyDescent="0.25">
      <c r="I103" t="s">
        <v>868</v>
      </c>
      <c r="J103" t="s">
        <v>869</v>
      </c>
      <c r="K103" t="s">
        <v>870</v>
      </c>
    </row>
    <row r="104" spans="9:11" x14ac:dyDescent="0.25">
      <c r="I104" t="s">
        <v>868</v>
      </c>
      <c r="J104" t="s">
        <v>869</v>
      </c>
      <c r="K104" t="s">
        <v>870</v>
      </c>
    </row>
    <row r="105" spans="9:11" x14ac:dyDescent="0.25">
      <c r="I105" t="s">
        <v>868</v>
      </c>
      <c r="J105" t="s">
        <v>869</v>
      </c>
      <c r="K105" t="s">
        <v>870</v>
      </c>
    </row>
    <row r="106" spans="9:11" x14ac:dyDescent="0.25">
      <c r="I106" t="s">
        <v>868</v>
      </c>
      <c r="J106" t="s">
        <v>869</v>
      </c>
      <c r="K106" t="s">
        <v>870</v>
      </c>
    </row>
    <row r="107" spans="9:11" x14ac:dyDescent="0.25">
      <c r="I107" t="s">
        <v>868</v>
      </c>
      <c r="J107" t="s">
        <v>869</v>
      </c>
      <c r="K107" t="s">
        <v>870</v>
      </c>
    </row>
    <row r="108" spans="9:11" x14ac:dyDescent="0.25">
      <c r="I108" t="s">
        <v>868</v>
      </c>
      <c r="J108" t="s">
        <v>869</v>
      </c>
      <c r="K108" t="s">
        <v>870</v>
      </c>
    </row>
    <row r="109" spans="9:11" x14ac:dyDescent="0.25">
      <c r="I109" t="s">
        <v>868</v>
      </c>
      <c r="J109" t="s">
        <v>869</v>
      </c>
      <c r="K109" t="s">
        <v>870</v>
      </c>
    </row>
    <row r="110" spans="9:11" x14ac:dyDescent="0.25">
      <c r="I110" t="s">
        <v>868</v>
      </c>
      <c r="J110" t="s">
        <v>869</v>
      </c>
      <c r="K110" t="s">
        <v>870</v>
      </c>
    </row>
    <row r="111" spans="9:11" x14ac:dyDescent="0.25">
      <c r="I111" t="s">
        <v>868</v>
      </c>
      <c r="J111" t="s">
        <v>869</v>
      </c>
      <c r="K111" t="s">
        <v>870</v>
      </c>
    </row>
    <row r="112" spans="9:11" x14ac:dyDescent="0.25">
      <c r="I112" t="s">
        <v>868</v>
      </c>
      <c r="J112" t="s">
        <v>869</v>
      </c>
      <c r="K112" t="s">
        <v>870</v>
      </c>
    </row>
    <row r="113" spans="9:11" x14ac:dyDescent="0.25">
      <c r="I113" t="s">
        <v>868</v>
      </c>
      <c r="J113" t="s">
        <v>869</v>
      </c>
      <c r="K113" t="s">
        <v>870</v>
      </c>
    </row>
    <row r="114" spans="9:11" x14ac:dyDescent="0.25">
      <c r="I114" t="s">
        <v>868</v>
      </c>
      <c r="J114" t="s">
        <v>869</v>
      </c>
      <c r="K114" t="s">
        <v>870</v>
      </c>
    </row>
    <row r="115" spans="9:11" x14ac:dyDescent="0.25">
      <c r="I115" t="s">
        <v>868</v>
      </c>
      <c r="J115" t="s">
        <v>869</v>
      </c>
      <c r="K115" t="s">
        <v>870</v>
      </c>
    </row>
    <row r="116" spans="9:11" x14ac:dyDescent="0.25">
      <c r="I116" t="s">
        <v>868</v>
      </c>
      <c r="J116" t="s">
        <v>869</v>
      </c>
      <c r="K116" t="s">
        <v>870</v>
      </c>
    </row>
    <row r="117" spans="9:11" x14ac:dyDescent="0.25">
      <c r="I117" t="s">
        <v>868</v>
      </c>
      <c r="J117" t="s">
        <v>869</v>
      </c>
      <c r="K117" t="s">
        <v>870</v>
      </c>
    </row>
    <row r="118" spans="9:11" x14ac:dyDescent="0.25">
      <c r="I118" t="s">
        <v>868</v>
      </c>
      <c r="J118" t="s">
        <v>869</v>
      </c>
      <c r="K118" t="s">
        <v>870</v>
      </c>
    </row>
    <row r="119" spans="9:11" x14ac:dyDescent="0.25">
      <c r="I119" t="s">
        <v>868</v>
      </c>
      <c r="J119" t="s">
        <v>869</v>
      </c>
      <c r="K119" t="s">
        <v>870</v>
      </c>
    </row>
    <row r="120" spans="9:11" x14ac:dyDescent="0.25">
      <c r="I120" t="s">
        <v>868</v>
      </c>
      <c r="J120" t="s">
        <v>869</v>
      </c>
      <c r="K120" t="s">
        <v>870</v>
      </c>
    </row>
    <row r="121" spans="9:11" x14ac:dyDescent="0.25">
      <c r="I121" t="s">
        <v>868</v>
      </c>
      <c r="J121" t="s">
        <v>869</v>
      </c>
      <c r="K121" t="s">
        <v>870</v>
      </c>
    </row>
    <row r="122" spans="9:11" x14ac:dyDescent="0.25">
      <c r="I122" t="s">
        <v>868</v>
      </c>
      <c r="J122" t="s">
        <v>869</v>
      </c>
      <c r="K122" t="s">
        <v>870</v>
      </c>
    </row>
    <row r="123" spans="9:11" x14ac:dyDescent="0.25">
      <c r="I123" t="s">
        <v>868</v>
      </c>
      <c r="J123" t="s">
        <v>869</v>
      </c>
      <c r="K123" t="s">
        <v>870</v>
      </c>
    </row>
    <row r="124" spans="9:11" x14ac:dyDescent="0.25">
      <c r="I124" t="s">
        <v>868</v>
      </c>
      <c r="J124" t="s">
        <v>869</v>
      </c>
      <c r="K124" t="s">
        <v>870</v>
      </c>
    </row>
    <row r="125" spans="9:11" x14ac:dyDescent="0.25">
      <c r="I125" t="s">
        <v>868</v>
      </c>
      <c r="J125" t="s">
        <v>869</v>
      </c>
      <c r="K125" t="s">
        <v>870</v>
      </c>
    </row>
    <row r="126" spans="9:11" x14ac:dyDescent="0.25">
      <c r="I126" t="s">
        <v>868</v>
      </c>
      <c r="J126" t="s">
        <v>869</v>
      </c>
      <c r="K126" t="s">
        <v>870</v>
      </c>
    </row>
    <row r="127" spans="9:11" x14ac:dyDescent="0.25">
      <c r="I127" t="s">
        <v>868</v>
      </c>
      <c r="J127" t="s">
        <v>869</v>
      </c>
      <c r="K127" t="s">
        <v>870</v>
      </c>
    </row>
    <row r="128" spans="9:11" x14ac:dyDescent="0.25">
      <c r="I128" t="s">
        <v>868</v>
      </c>
      <c r="J128" t="s">
        <v>869</v>
      </c>
      <c r="K128" t="s">
        <v>870</v>
      </c>
    </row>
    <row r="129" spans="9:11" x14ac:dyDescent="0.25">
      <c r="I129" t="s">
        <v>868</v>
      </c>
      <c r="J129" t="s">
        <v>869</v>
      </c>
      <c r="K129" t="s">
        <v>870</v>
      </c>
    </row>
    <row r="130" spans="9:11" x14ac:dyDescent="0.25">
      <c r="I130" t="s">
        <v>868</v>
      </c>
      <c r="J130" t="s">
        <v>869</v>
      </c>
      <c r="K130" t="s">
        <v>870</v>
      </c>
    </row>
    <row r="131" spans="9:11" x14ac:dyDescent="0.25">
      <c r="I131" t="s">
        <v>868</v>
      </c>
      <c r="J131" t="s">
        <v>869</v>
      </c>
      <c r="K131" t="s">
        <v>870</v>
      </c>
    </row>
    <row r="132" spans="9:11" x14ac:dyDescent="0.25">
      <c r="I132" t="s">
        <v>868</v>
      </c>
      <c r="J132" t="s">
        <v>869</v>
      </c>
      <c r="K132" t="s">
        <v>870</v>
      </c>
    </row>
    <row r="133" spans="9:11" x14ac:dyDescent="0.25">
      <c r="I133" t="s">
        <v>868</v>
      </c>
      <c r="J133" t="s">
        <v>869</v>
      </c>
      <c r="K133" t="s">
        <v>870</v>
      </c>
    </row>
    <row r="134" spans="9:11" x14ac:dyDescent="0.25">
      <c r="I134" t="s">
        <v>868</v>
      </c>
      <c r="J134" t="s">
        <v>869</v>
      </c>
      <c r="K134" t="s">
        <v>870</v>
      </c>
    </row>
    <row r="135" spans="9:11" x14ac:dyDescent="0.25">
      <c r="I135" t="s">
        <v>868</v>
      </c>
      <c r="J135" t="s">
        <v>869</v>
      </c>
      <c r="K135" t="s">
        <v>870</v>
      </c>
    </row>
    <row r="136" spans="9:11" x14ac:dyDescent="0.25">
      <c r="I136" t="s">
        <v>868</v>
      </c>
      <c r="J136" t="s">
        <v>869</v>
      </c>
      <c r="K136" t="s">
        <v>870</v>
      </c>
    </row>
    <row r="137" spans="9:11" x14ac:dyDescent="0.25">
      <c r="I137" t="s">
        <v>868</v>
      </c>
      <c r="J137" t="s">
        <v>869</v>
      </c>
      <c r="K137" t="s">
        <v>870</v>
      </c>
    </row>
    <row r="138" spans="9:11" x14ac:dyDescent="0.25">
      <c r="I138" t="s">
        <v>868</v>
      </c>
      <c r="J138" t="s">
        <v>869</v>
      </c>
      <c r="K138" t="s">
        <v>870</v>
      </c>
    </row>
    <row r="139" spans="9:11" x14ac:dyDescent="0.25">
      <c r="I139" t="s">
        <v>868</v>
      </c>
      <c r="J139" t="s">
        <v>869</v>
      </c>
      <c r="K139" t="s">
        <v>870</v>
      </c>
    </row>
    <row r="140" spans="9:11" x14ac:dyDescent="0.25">
      <c r="I140" t="s">
        <v>868</v>
      </c>
      <c r="J140" t="s">
        <v>869</v>
      </c>
      <c r="K140" t="s">
        <v>870</v>
      </c>
    </row>
    <row r="141" spans="9:11" x14ac:dyDescent="0.25">
      <c r="I141" t="s">
        <v>868</v>
      </c>
      <c r="J141" t="s">
        <v>869</v>
      </c>
      <c r="K141" t="s">
        <v>870</v>
      </c>
    </row>
    <row r="142" spans="9:11" x14ac:dyDescent="0.25">
      <c r="I142" t="s">
        <v>868</v>
      </c>
      <c r="J142" t="s">
        <v>869</v>
      </c>
      <c r="K142" t="s">
        <v>870</v>
      </c>
    </row>
    <row r="143" spans="9:11" x14ac:dyDescent="0.25">
      <c r="I143" t="s">
        <v>868</v>
      </c>
      <c r="J143" t="s">
        <v>869</v>
      </c>
      <c r="K143" t="s">
        <v>870</v>
      </c>
    </row>
    <row r="144" spans="9:11" x14ac:dyDescent="0.25">
      <c r="I144" t="s">
        <v>868</v>
      </c>
      <c r="J144" t="s">
        <v>869</v>
      </c>
      <c r="K144" t="s">
        <v>870</v>
      </c>
    </row>
    <row r="145" spans="9:11" x14ac:dyDescent="0.25">
      <c r="I145" t="s">
        <v>868</v>
      </c>
      <c r="J145" t="s">
        <v>869</v>
      </c>
      <c r="K145" t="s">
        <v>870</v>
      </c>
    </row>
    <row r="146" spans="9:11" x14ac:dyDescent="0.25">
      <c r="I146" t="s">
        <v>868</v>
      </c>
      <c r="J146" t="s">
        <v>869</v>
      </c>
      <c r="K146" t="s">
        <v>870</v>
      </c>
    </row>
    <row r="147" spans="9:11" x14ac:dyDescent="0.25">
      <c r="I147" t="s">
        <v>868</v>
      </c>
      <c r="J147" t="s">
        <v>869</v>
      </c>
      <c r="K147" t="s">
        <v>870</v>
      </c>
    </row>
    <row r="148" spans="9:11" x14ac:dyDescent="0.25">
      <c r="I148" t="s">
        <v>868</v>
      </c>
      <c r="J148" t="s">
        <v>869</v>
      </c>
      <c r="K148" t="s">
        <v>870</v>
      </c>
    </row>
    <row r="149" spans="9:11" x14ac:dyDescent="0.25">
      <c r="I149" t="s">
        <v>868</v>
      </c>
      <c r="J149" t="s">
        <v>869</v>
      </c>
      <c r="K149" t="s">
        <v>870</v>
      </c>
    </row>
    <row r="150" spans="9:11" x14ac:dyDescent="0.25">
      <c r="I150" t="s">
        <v>868</v>
      </c>
      <c r="J150" t="s">
        <v>869</v>
      </c>
      <c r="K150" t="s">
        <v>870</v>
      </c>
    </row>
    <row r="151" spans="9:11" x14ac:dyDescent="0.25">
      <c r="I151" t="s">
        <v>868</v>
      </c>
      <c r="J151" t="s">
        <v>869</v>
      </c>
      <c r="K151" t="s">
        <v>870</v>
      </c>
    </row>
    <row r="152" spans="9:11" x14ac:dyDescent="0.25">
      <c r="I152" t="s">
        <v>868</v>
      </c>
      <c r="J152" t="s">
        <v>869</v>
      </c>
      <c r="K152" t="s">
        <v>870</v>
      </c>
    </row>
    <row r="153" spans="9:11" x14ac:dyDescent="0.25">
      <c r="I153" t="s">
        <v>868</v>
      </c>
      <c r="J153" t="s">
        <v>869</v>
      </c>
      <c r="K153" t="s">
        <v>870</v>
      </c>
    </row>
    <row r="154" spans="9:11" x14ac:dyDescent="0.25">
      <c r="I154" t="s">
        <v>868</v>
      </c>
      <c r="J154" t="s">
        <v>869</v>
      </c>
      <c r="K154" t="s">
        <v>870</v>
      </c>
    </row>
    <row r="155" spans="9:11" x14ac:dyDescent="0.25">
      <c r="I155" t="s">
        <v>868</v>
      </c>
      <c r="J155" t="s">
        <v>869</v>
      </c>
      <c r="K155" t="s">
        <v>870</v>
      </c>
    </row>
    <row r="156" spans="9:11" x14ac:dyDescent="0.25">
      <c r="I156" t="s">
        <v>868</v>
      </c>
      <c r="J156" t="s">
        <v>869</v>
      </c>
      <c r="K156" t="s">
        <v>870</v>
      </c>
    </row>
    <row r="157" spans="9:11" x14ac:dyDescent="0.25">
      <c r="I157" t="s">
        <v>868</v>
      </c>
      <c r="J157" t="s">
        <v>869</v>
      </c>
      <c r="K157" t="s">
        <v>870</v>
      </c>
    </row>
    <row r="158" spans="9:11" x14ac:dyDescent="0.25">
      <c r="I158" t="s">
        <v>868</v>
      </c>
      <c r="J158" t="s">
        <v>869</v>
      </c>
      <c r="K158" t="s">
        <v>870</v>
      </c>
    </row>
    <row r="159" spans="9:11" x14ac:dyDescent="0.25">
      <c r="I159" t="s">
        <v>868</v>
      </c>
      <c r="J159" t="s">
        <v>869</v>
      </c>
      <c r="K159" t="s">
        <v>870</v>
      </c>
    </row>
    <row r="160" spans="9:11" x14ac:dyDescent="0.25">
      <c r="I160" t="s">
        <v>868</v>
      </c>
      <c r="J160" t="s">
        <v>869</v>
      </c>
      <c r="K160" t="s">
        <v>870</v>
      </c>
    </row>
    <row r="161" spans="9:11" x14ac:dyDescent="0.25">
      <c r="I161" t="s">
        <v>868</v>
      </c>
      <c r="J161" t="s">
        <v>869</v>
      </c>
      <c r="K161" t="s">
        <v>870</v>
      </c>
    </row>
    <row r="162" spans="9:11" x14ac:dyDescent="0.25">
      <c r="I162" t="s">
        <v>868</v>
      </c>
      <c r="J162" t="s">
        <v>869</v>
      </c>
      <c r="K162" t="s">
        <v>870</v>
      </c>
    </row>
    <row r="163" spans="9:11" x14ac:dyDescent="0.25">
      <c r="I163" t="s">
        <v>868</v>
      </c>
      <c r="J163" t="s">
        <v>869</v>
      </c>
      <c r="K163" t="s">
        <v>870</v>
      </c>
    </row>
    <row r="164" spans="9:11" x14ac:dyDescent="0.25">
      <c r="I164" t="s">
        <v>868</v>
      </c>
      <c r="J164" t="s">
        <v>869</v>
      </c>
      <c r="K164" t="s">
        <v>870</v>
      </c>
    </row>
    <row r="165" spans="9:11" x14ac:dyDescent="0.25">
      <c r="I165" t="s">
        <v>868</v>
      </c>
      <c r="J165" t="s">
        <v>869</v>
      </c>
      <c r="K165" t="s">
        <v>870</v>
      </c>
    </row>
    <row r="166" spans="9:11" x14ac:dyDescent="0.25">
      <c r="I166" t="s">
        <v>868</v>
      </c>
      <c r="J166" t="s">
        <v>869</v>
      </c>
      <c r="K166" t="s">
        <v>870</v>
      </c>
    </row>
    <row r="167" spans="9:11" x14ac:dyDescent="0.25">
      <c r="I167" t="s">
        <v>868</v>
      </c>
      <c r="J167" t="s">
        <v>869</v>
      </c>
      <c r="K167" t="s">
        <v>870</v>
      </c>
    </row>
    <row r="168" spans="9:11" x14ac:dyDescent="0.25">
      <c r="I168" t="s">
        <v>868</v>
      </c>
      <c r="J168" t="s">
        <v>869</v>
      </c>
      <c r="K168" t="s">
        <v>870</v>
      </c>
    </row>
    <row r="169" spans="9:11" x14ac:dyDescent="0.25">
      <c r="I169" t="s">
        <v>868</v>
      </c>
      <c r="J169" t="s">
        <v>869</v>
      </c>
      <c r="K169" t="s">
        <v>870</v>
      </c>
    </row>
    <row r="170" spans="9:11" x14ac:dyDescent="0.25">
      <c r="I170" t="s">
        <v>868</v>
      </c>
      <c r="J170" t="s">
        <v>869</v>
      </c>
      <c r="K170" t="s">
        <v>870</v>
      </c>
    </row>
    <row r="171" spans="9:11" x14ac:dyDescent="0.25">
      <c r="I171" t="s">
        <v>868</v>
      </c>
      <c r="J171" t="s">
        <v>869</v>
      </c>
      <c r="K171" t="s">
        <v>870</v>
      </c>
    </row>
    <row r="172" spans="9:11" x14ac:dyDescent="0.25">
      <c r="I172" t="s">
        <v>868</v>
      </c>
      <c r="J172" t="s">
        <v>869</v>
      </c>
      <c r="K172" t="s">
        <v>870</v>
      </c>
    </row>
    <row r="173" spans="9:11" x14ac:dyDescent="0.25">
      <c r="I173" t="s">
        <v>868</v>
      </c>
      <c r="J173" t="s">
        <v>869</v>
      </c>
      <c r="K173" t="s">
        <v>870</v>
      </c>
    </row>
    <row r="174" spans="9:11" x14ac:dyDescent="0.25">
      <c r="I174" t="s">
        <v>868</v>
      </c>
      <c r="J174" t="s">
        <v>869</v>
      </c>
      <c r="K174" t="s">
        <v>870</v>
      </c>
    </row>
    <row r="175" spans="9:11" x14ac:dyDescent="0.25">
      <c r="I175" t="s">
        <v>868</v>
      </c>
      <c r="J175" t="s">
        <v>869</v>
      </c>
      <c r="K175" t="s">
        <v>870</v>
      </c>
    </row>
    <row r="176" spans="9:11" x14ac:dyDescent="0.25">
      <c r="I176" t="s">
        <v>868</v>
      </c>
      <c r="J176" t="s">
        <v>869</v>
      </c>
      <c r="K176" t="s">
        <v>870</v>
      </c>
    </row>
    <row r="177" spans="9:11" x14ac:dyDescent="0.25">
      <c r="I177" t="s">
        <v>868</v>
      </c>
      <c r="J177" t="s">
        <v>869</v>
      </c>
      <c r="K177" t="s">
        <v>870</v>
      </c>
    </row>
    <row r="178" spans="9:11" x14ac:dyDescent="0.25">
      <c r="I178" t="s">
        <v>868</v>
      </c>
      <c r="J178" t="s">
        <v>869</v>
      </c>
      <c r="K178" t="s">
        <v>870</v>
      </c>
    </row>
    <row r="179" spans="9:11" x14ac:dyDescent="0.25">
      <c r="I179" t="s">
        <v>868</v>
      </c>
      <c r="J179" t="s">
        <v>869</v>
      </c>
      <c r="K179" t="s">
        <v>870</v>
      </c>
    </row>
    <row r="180" spans="9:11" x14ac:dyDescent="0.25">
      <c r="I180" t="s">
        <v>868</v>
      </c>
      <c r="J180" t="s">
        <v>869</v>
      </c>
      <c r="K180" t="s">
        <v>870</v>
      </c>
    </row>
    <row r="181" spans="9:11" x14ac:dyDescent="0.25">
      <c r="I181" t="s">
        <v>868</v>
      </c>
      <c r="J181" t="s">
        <v>869</v>
      </c>
      <c r="K181" t="s">
        <v>870</v>
      </c>
    </row>
    <row r="182" spans="9:11" x14ac:dyDescent="0.25">
      <c r="I182" t="s">
        <v>868</v>
      </c>
      <c r="J182" t="s">
        <v>869</v>
      </c>
      <c r="K182" t="s">
        <v>870</v>
      </c>
    </row>
    <row r="183" spans="9:11" x14ac:dyDescent="0.25">
      <c r="I183" t="s">
        <v>868</v>
      </c>
      <c r="J183" t="s">
        <v>869</v>
      </c>
      <c r="K183" t="s">
        <v>870</v>
      </c>
    </row>
    <row r="184" spans="9:11" x14ac:dyDescent="0.25">
      <c r="I184" t="s">
        <v>868</v>
      </c>
      <c r="J184" t="s">
        <v>869</v>
      </c>
      <c r="K184" t="s">
        <v>870</v>
      </c>
    </row>
    <row r="185" spans="9:11" x14ac:dyDescent="0.25">
      <c r="I185" t="s">
        <v>868</v>
      </c>
      <c r="J185" t="s">
        <v>869</v>
      </c>
      <c r="K185" t="s">
        <v>870</v>
      </c>
    </row>
    <row r="186" spans="9:11" x14ac:dyDescent="0.25">
      <c r="I186" t="s">
        <v>868</v>
      </c>
      <c r="J186" t="s">
        <v>869</v>
      </c>
      <c r="K186" t="s">
        <v>870</v>
      </c>
    </row>
    <row r="187" spans="9:11" x14ac:dyDescent="0.25">
      <c r="I187" t="s">
        <v>868</v>
      </c>
      <c r="J187" t="s">
        <v>869</v>
      </c>
      <c r="K187" t="s">
        <v>870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3B91C-31EB-4333-BA27-274B89B3BCDB}">
  <sheetPr codeName="credentials"/>
  <dimension ref="A1:A3"/>
  <sheetViews>
    <sheetView zoomScale="340" zoomScaleNormal="340" workbookViewId="0">
      <selection activeCell="A7" sqref="A7"/>
    </sheetView>
  </sheetViews>
  <sheetFormatPr defaultRowHeight="15" x14ac:dyDescent="0.25"/>
  <cols>
    <col min="1" max="1" width="19.7109375" bestFit="1" customWidth="1"/>
  </cols>
  <sheetData>
    <row r="1" spans="1:1" x14ac:dyDescent="0.25">
      <c r="A1" t="s">
        <v>867</v>
      </c>
    </row>
    <row r="2" spans="1:1" x14ac:dyDescent="0.25">
      <c r="A2" t="s">
        <v>872</v>
      </c>
    </row>
    <row r="3" spans="1:1" x14ac:dyDescent="0.25">
      <c r="A3" t="s">
        <v>873</v>
      </c>
    </row>
  </sheetData>
  <pageMargins left="0.7" right="0.7" top="0.75" bottom="0.75" header="0.3" footer="0.3"/>
</worksheet>
</file>

<file path=customUI/customUI.xml><?xml version="1.0" encoding="utf-8"?>
<customUI xmlns="http://schemas.microsoft.com/office/2006/01/customui">
  <ribbon>
    <tabs>
      <tab id="customTab" label="Email">
        <group id="customGroup" label="Send Mail">
          <button id="customButton1" label="Send" size="large" onAction="xSendMail" imageMso="ArrangeByTo"/>
          <button id="customButton2" label="Set Credentials" size="large" onAction="xSetCredentials" imageMso="CatalogMergeEditList"/>
          <button id="customButton3" label="Clear Credentials" size="large" onAction="xClearCredentials" imageMso="CatalogMergeExcludeSelectedRecor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data</vt:lpstr>
      <vt:lpstr>System Info</vt:lpstr>
      <vt:lpstr>googleForm</vt:lpstr>
      <vt:lpstr>data!websql.aspx?mode_23_code_744447h826331700</vt:lpstr>
      <vt:lpstr>data!websql.aspx?mode_23_code_744447h826331700_1</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gallen2</dc:creator>
  <cp:lastModifiedBy>Gove Allen</cp:lastModifiedBy>
  <dcterms:created xsi:type="dcterms:W3CDTF">2012-03-13T18:11:04Z</dcterms:created>
  <dcterms:modified xsi:type="dcterms:W3CDTF">2021-12-01T22:21:55Z</dcterms:modified>
</cp:coreProperties>
</file>