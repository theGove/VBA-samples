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AF09C8B4-6C4E-4148-9BF1-4B75330EE29B}" xr6:coauthVersionLast="31" xr6:coauthVersionMax="31" xr10:uidLastSave="{00000000-0000-0000-0000-000000000000}"/>
  <bookViews>
    <workbookView xWindow="0" yWindow="0" windowWidth="28800" windowHeight="11610" xr2:uid="{B8262821-4BD0-42C6-972E-7107794720B5}"/>
  </bookViews>
  <sheets>
    <sheet name="Tickers" sheetId="1" r:id="rId1"/>
    <sheet name="WebQuery" sheetId="2" r:id="rId2"/>
  </sheets>
  <definedNames>
    <definedName name="WebQuery_1" localSheetId="1">WebQuery!$A$2:$D$30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xl2000="1" url="https://finance.yahoo.com/quote/MSFT" htmlTables="1"/>
  </connection>
</connections>
</file>

<file path=xl/sharedStrings.xml><?xml version="1.0" encoding="utf-8"?>
<sst xmlns="http://schemas.openxmlformats.org/spreadsheetml/2006/main" count="51" uniqueCount="47">
  <si>
    <t>Ticker</t>
  </si>
  <si>
    <t>Prior Close</t>
  </si>
  <si>
    <t>Open</t>
  </si>
  <si>
    <t>Status</t>
  </si>
  <si>
    <t>LUV</t>
  </si>
  <si>
    <t>GOOG</t>
  </si>
  <si>
    <t>AAPL</t>
  </si>
  <si>
    <t>COOL</t>
  </si>
  <si>
    <t>XOM</t>
  </si>
  <si>
    <t>AXP</t>
  </si>
  <si>
    <t>F</t>
  </si>
  <si>
    <t>GM</t>
  </si>
  <si>
    <t>MSFT</t>
  </si>
  <si>
    <t>Previous Close</t>
  </si>
  <si>
    <t>Bid</t>
  </si>
  <si>
    <t>Ask</t>
  </si>
  <si>
    <t>Day's Range</t>
  </si>
  <si>
    <t>52 Week Range</t>
  </si>
  <si>
    <t>Volume</t>
  </si>
  <si>
    <t>Avg. Volume</t>
  </si>
  <si>
    <t>Market Cap</t>
  </si>
  <si>
    <t>Beta</t>
  </si>
  <si>
    <t>PE Ratio (TTM)</t>
  </si>
  <si>
    <t>EPS (TTM)</t>
  </si>
  <si>
    <t>Earnings Date</t>
  </si>
  <si>
    <t>Forward Dividend &amp; Yield</t>
  </si>
  <si>
    <t>Ex-Dividend Date</t>
  </si>
  <si>
    <t>1y Target Est</t>
  </si>
  <si>
    <t>Symbol</t>
  </si>
  <si>
    <t>Last Price</t>
  </si>
  <si>
    <t>Change</t>
  </si>
  <si>
    <t>% Change</t>
  </si>
  <si>
    <t>Apple Inc.</t>
  </si>
  <si>
    <t>AMZN</t>
  </si>
  <si>
    <t>Amazon.com, Inc.</t>
  </si>
  <si>
    <t>Alphabet Inc.</t>
  </si>
  <si>
    <t>111.56 x 900</t>
  </si>
  <si>
    <t>111.67 x 900</t>
  </si>
  <si>
    <t>110.51 - 111.81</t>
  </si>
  <si>
    <t>72.92 - 112.78</t>
  </si>
  <si>
    <t>856.617B</t>
  </si>
  <si>
    <t>Oct 24, 2018 - Oct 29, 2018</t>
  </si>
  <si>
    <t>1.68 (1.54%)</t>
  </si>
  <si>
    <t>INTC</t>
  </si>
  <si>
    <t>Intel Corporation</t>
  </si>
  <si>
    <t>CSCO</t>
  </si>
  <si>
    <t>Cisco Systems,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</si>
</sst>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5" fontId="0" fillId="0" borderId="0" xfId="0" applyNumberFormat="1"/>
    <xf numFmtId="3" fontId="0" fillId="0" borderId="0" xfId="0" applyNumberFormat="1"/>
    <xf numFmtId="14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152400</xdr:rowOff>
        </xdr:from>
        <xdr:to>
          <xdr:col>6</xdr:col>
          <xdr:colOff>152400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4815842-CEAC-4B9B-AAAA-50B3B9F7E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ebQuery_1" backgroundRefresh="0" growShrinkType="overwriteClear" connectionId="1" xr16:uid="{00000000-0016-0000-02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03B58-78D0-4778-83AF-1B7F41ECCC92}">
  <sheetPr codeName="Sheet1"/>
  <dimension ref="A1:D10"/>
  <sheetViews>
    <sheetView tabSelected="1" zoomScale="227" workbookViewId="0">
      <selection activeCell="A11" sqref="A11"/>
    </sheetView>
  </sheetViews>
  <sheetFormatPr defaultRowHeight="15" x14ac:dyDescent="0.25"/>
  <cols>
    <col min="2" max="2" width="10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62.98</v>
      </c>
      <c r="C2">
        <v>62.95</v>
      </c>
      <c r="D2" t="str">
        <f>IF(C2&gt;B2,"Winner",IF(C2&lt;B2,"Looser","Flat"))</f>
        <v>Looser</v>
      </c>
    </row>
    <row r="3" spans="1:4" x14ac:dyDescent="0.25">
      <c r="A3" t="s">
        <v>5</v>
      </c>
      <c r="B3" s="5">
        <v>1177.3599999999999</v>
      </c>
      <c r="C3" s="5">
        <v>1172.72</v>
      </c>
      <c r="D3" t="str">
        <f>IF(C3&gt;B3,"Winner",IF(C3&lt;B3,"Looser","Flat"))</f>
        <v>Looser</v>
      </c>
    </row>
    <row r="4" spans="1:4" x14ac:dyDescent="0.25">
      <c r="A4" t="s">
        <v>6</v>
      </c>
      <c r="B4" s="5">
        <v>223.85</v>
      </c>
      <c r="C4" s="5">
        <v>224.94</v>
      </c>
      <c r="D4" t="str">
        <f>IF(C4&gt;B4,"Winner",IF(C4&lt;B4,"Looser","Flat"))</f>
        <v>Winner</v>
      </c>
    </row>
    <row r="5" spans="1:4" x14ac:dyDescent="0.25">
      <c r="A5" t="s">
        <v>7</v>
      </c>
      <c r="B5" s="5">
        <v>20.45</v>
      </c>
      <c r="C5" s="5">
        <v>18.350000000000001</v>
      </c>
      <c r="D5" t="str">
        <f>IF(C5&gt;B5,"Winner",IF(C5&lt;B5,"Looser","Flat"))</f>
        <v>Looser</v>
      </c>
    </row>
    <row r="6" spans="1:4" x14ac:dyDescent="0.25">
      <c r="A6" t="s">
        <v>8</v>
      </c>
      <c r="B6" s="5">
        <v>82.86</v>
      </c>
      <c r="C6" s="5">
        <v>83.25</v>
      </c>
      <c r="D6" t="str">
        <f>IF(C6&gt;B6,"Winner",IF(C6&lt;B6,"Looser","Flat"))</f>
        <v>Winner</v>
      </c>
    </row>
    <row r="7" spans="1:4" x14ac:dyDescent="0.25">
      <c r="A7" t="s">
        <v>9</v>
      </c>
      <c r="B7" s="5">
        <v>108.31</v>
      </c>
      <c r="C7" s="5">
        <v>108.31</v>
      </c>
      <c r="D7" t="str">
        <f>IF(C7&gt;B7,"Winner",IF(C7&lt;B7,"Looser","Flat"))</f>
        <v>Flat</v>
      </c>
    </row>
    <row r="8" spans="1:4" x14ac:dyDescent="0.25">
      <c r="A8" t="s">
        <v>10</v>
      </c>
      <c r="B8" s="5">
        <v>9.31</v>
      </c>
      <c r="C8" s="5">
        <v>9.31</v>
      </c>
      <c r="D8" t="str">
        <f>IF(C8&gt;B8,"Winner",IF(C8&lt;B8,"Looser","Flat"))</f>
        <v>Flat</v>
      </c>
    </row>
    <row r="9" spans="1:4" x14ac:dyDescent="0.25">
      <c r="A9" t="s">
        <v>11</v>
      </c>
      <c r="B9" s="5">
        <v>33.770000000000003</v>
      </c>
      <c r="C9" s="5">
        <v>33.700000000000003</v>
      </c>
      <c r="D9" t="str">
        <f>IF(C9&gt;B9,"Winner",IF(C9&lt;B9,"Looser","Flat"))</f>
        <v>Looser</v>
      </c>
    </row>
    <row r="10" spans="1:4" x14ac:dyDescent="0.25">
      <c r="A10" t="s">
        <v>12</v>
      </c>
      <c r="B10" s="5">
        <v>111.24</v>
      </c>
      <c r="C10" s="5">
        <v>111.43</v>
      </c>
      <c r="D10" t="str">
        <f>IF(C10&gt;B10,"Winner",IF(C10&lt;B10,"Looser","Flat"))</f>
        <v>Winner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_all_data">
                <anchor moveWithCells="1" sizeWithCells="1">
                  <from>
                    <xdr:col>5</xdr:col>
                    <xdr:colOff>0</xdr:colOff>
                    <xdr:row>0</xdr:row>
                    <xdr:rowOff>152400</xdr:rowOff>
                  </from>
                  <to>
                    <xdr:col>6</xdr:col>
                    <xdr:colOff>152400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402F-D888-450B-8B80-BFA7CE1ED5EB}">
  <sheetPr codeName="Sheet2"/>
  <dimension ref="A1:D58"/>
  <sheetViews>
    <sheetView zoomScale="180" zoomScaleNormal="180" workbookViewId="0">
      <selection activeCell="B3" sqref="B3"/>
    </sheetView>
  </sheetViews>
  <sheetFormatPr defaultRowHeight="15" x14ac:dyDescent="0.25"/>
  <cols>
    <col min="1" max="2" width="23.85546875" bestFit="1" customWidth="1"/>
    <col min="3" max="3" width="7.5703125" bestFit="1" customWidth="1"/>
    <col min="4" max="4" width="9.5703125" bestFit="1" customWidth="1"/>
  </cols>
  <sheetData>
    <row r="1" spans="1:2" x14ac:dyDescent="0.25">
      <c r="A1" t="s">
        <v>12</v>
      </c>
    </row>
    <row r="2" spans="1:2" x14ac:dyDescent="0.25">
      <c r="A2" t="s">
        <v>13</v>
      </c>
      <c r="B2" s="5">
        <v>111.24</v>
      </c>
    </row>
    <row r="3" spans="1:2" x14ac:dyDescent="0.25">
      <c r="A3" t="s">
        <v>2</v>
      </c>
      <c r="B3" s="5">
        <v>111.43</v>
      </c>
    </row>
    <row r="4" spans="1:2" x14ac:dyDescent="0.25">
      <c r="A4" t="s">
        <v>14</v>
      </c>
      <c r="B4" t="s">
        <v>36</v>
      </c>
    </row>
    <row r="5" spans="1:2" x14ac:dyDescent="0.25">
      <c r="A5" t="s">
        <v>15</v>
      </c>
      <c r="B5" t="s">
        <v>37</v>
      </c>
    </row>
    <row r="6" spans="1:2" x14ac:dyDescent="0.25">
      <c r="A6" t="s">
        <v>16</v>
      </c>
      <c r="B6" t="s">
        <v>38</v>
      </c>
    </row>
    <row r="7" spans="1:2" x14ac:dyDescent="0.25">
      <c r="A7" t="s">
        <v>17</v>
      </c>
      <c r="B7" t="s">
        <v>39</v>
      </c>
    </row>
    <row r="8" spans="1:2" x14ac:dyDescent="0.25">
      <c r="A8" t="s">
        <v>18</v>
      </c>
      <c r="B8" s="2">
        <v>15722343</v>
      </c>
    </row>
    <row r="9" spans="1:2" x14ac:dyDescent="0.25">
      <c r="A9" t="s">
        <v>19</v>
      </c>
      <c r="B9" s="2">
        <v>25005679</v>
      </c>
    </row>
    <row r="11" spans="1:2" x14ac:dyDescent="0.25">
      <c r="A11" t="s">
        <v>20</v>
      </c>
      <c r="B11" t="s">
        <v>40</v>
      </c>
    </row>
    <row r="12" spans="1:2" x14ac:dyDescent="0.25">
      <c r="A12" t="s">
        <v>21</v>
      </c>
      <c r="B12">
        <v>1.26</v>
      </c>
    </row>
    <row r="13" spans="1:2" x14ac:dyDescent="0.25">
      <c r="A13" t="s">
        <v>22</v>
      </c>
      <c r="B13">
        <v>52.45</v>
      </c>
    </row>
    <row r="14" spans="1:2" x14ac:dyDescent="0.25">
      <c r="A14" t="s">
        <v>23</v>
      </c>
      <c r="B14">
        <v>2.13</v>
      </c>
    </row>
    <row r="15" spans="1:2" x14ac:dyDescent="0.25">
      <c r="A15" t="s">
        <v>24</v>
      </c>
      <c r="B15" s="1" t="s">
        <v>41</v>
      </c>
    </row>
    <row r="16" spans="1:2" x14ac:dyDescent="0.25">
      <c r="A16" t="s">
        <v>25</v>
      </c>
      <c r="B16" t="s">
        <v>42</v>
      </c>
    </row>
    <row r="17" spans="1:4" x14ac:dyDescent="0.25">
      <c r="A17" t="s">
        <v>26</v>
      </c>
      <c r="B17" s="3">
        <v>43327</v>
      </c>
    </row>
    <row r="18" spans="1:4" x14ac:dyDescent="0.25">
      <c r="A18" t="s">
        <v>27</v>
      </c>
      <c r="B18" s="5">
        <v>121.64</v>
      </c>
    </row>
    <row r="20" spans="1:4" x14ac:dyDescent="0.25">
      <c r="A20" t="s">
        <v>28</v>
      </c>
      <c r="B20" t="s">
        <v>29</v>
      </c>
      <c r="C20" t="s">
        <v>30</v>
      </c>
      <c r="D20" t="s">
        <v>31</v>
      </c>
    </row>
    <row r="21" spans="1:4" x14ac:dyDescent="0.25">
      <c r="A21" t="s">
        <v>43</v>
      </c>
      <c r="B21" s="5">
        <v>44.93</v>
      </c>
      <c r="C21">
        <v>0</v>
      </c>
      <c r="D21" s="4">
        <v>0</v>
      </c>
    </row>
    <row r="22" spans="1:4" x14ac:dyDescent="0.25">
      <c r="A22" t="s">
        <v>44</v>
      </c>
    </row>
    <row r="23" spans="1:4" x14ac:dyDescent="0.25">
      <c r="A23" t="s">
        <v>45</v>
      </c>
      <c r="B23">
        <v>46.89</v>
      </c>
      <c r="C23">
        <v>-0.14000000000000001</v>
      </c>
      <c r="D23" s="4">
        <v>-3.0000000000000001E-3</v>
      </c>
    </row>
    <row r="24" spans="1:4" x14ac:dyDescent="0.25">
      <c r="A24" t="s">
        <v>46</v>
      </c>
    </row>
    <row r="25" spans="1:4" x14ac:dyDescent="0.25">
      <c r="A25" t="s">
        <v>6</v>
      </c>
      <c r="B25" s="5">
        <v>221.07</v>
      </c>
      <c r="C25">
        <v>-2.78</v>
      </c>
      <c r="D25" s="4">
        <v>-1.24E-2</v>
      </c>
    </row>
    <row r="26" spans="1:4" x14ac:dyDescent="0.25">
      <c r="A26" t="s">
        <v>32</v>
      </c>
    </row>
    <row r="27" spans="1:4" x14ac:dyDescent="0.25">
      <c r="A27" t="s">
        <v>33</v>
      </c>
      <c r="B27" s="5">
        <v>1990</v>
      </c>
      <c r="C27">
        <v>2.85</v>
      </c>
      <c r="D27" s="4">
        <v>1.4E-3</v>
      </c>
    </row>
    <row r="28" spans="1:4" x14ac:dyDescent="0.25">
      <c r="A28" t="s">
        <v>34</v>
      </c>
    </row>
    <row r="29" spans="1:4" x14ac:dyDescent="0.25">
      <c r="A29" t="s">
        <v>5</v>
      </c>
      <c r="B29" s="5">
        <v>1162.82</v>
      </c>
      <c r="C29">
        <v>-14.54</v>
      </c>
      <c r="D29" s="4">
        <v>-1.23E-2</v>
      </c>
    </row>
    <row r="30" spans="1:4" x14ac:dyDescent="0.25">
      <c r="A30" t="s">
        <v>35</v>
      </c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Tickers</vt:lpstr>
      <vt:lpstr>WebQuery</vt:lpstr>
      <vt:lpstr>WebQuery!WebQuery_1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2018-09-12T21:51:10Z</dcterms:created>
  <dcterms:modified xsi:type="dcterms:W3CDTF">2018-09-12T23:14:04Z</dcterms:modified>
</cp:coreProperties>
</file>