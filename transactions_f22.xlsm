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A64CD470-18C2-4D48-81F5-9C236472091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ransactions" sheetId="1" r:id="rId1"/>
    <sheet name="Sheet1" sheetId="4" r:id="rId2"/>
    <sheet name="WMI" sheetId="2" r:id="rId3"/>
    <sheet name="year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" l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X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<sst xmlns="http://schemas.openxmlformats.org/spreadsheetml/2006/main" count="6439" uniqueCount="3723">
  <si>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</si>
  <si>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</si>
  <si>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</si>
  <si>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</si>
  <si>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</si>
  <si>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</si>
  <si>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</si>
  <si>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</si>
  <si>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</si>
  <si>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</si>
  <si>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</si>
  <si>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</si>
  <si>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</si>
  <si>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</si>
  <si>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</si>
  <si>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</si>
  <si>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</si>
  <si>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</si>
  <si>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</si>
  <si>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</si>
  <si>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</si>
  <si>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</si>
  <si>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</si>
  <si>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</si>
  <si>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</si>
  <si>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</si>
  <si>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</si>
  <si>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</si>
  <si>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</si>
  <si>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</si>
  <si>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</si>
  <si>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</si>
  <si>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</si>
  <si>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</si>
  <si>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</si>
  <si>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</si>
  <si>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</si>
  <si>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</si>
  <si>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</si>
  <si>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</si>
  <si>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</si>
  <si>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</si>
  <si>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</si>
  <si>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</si>
  <si>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</si>
  <si>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</si>
  <si>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</si>
  <si>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</si>
  <si>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</si>
  <si>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</si>
  <si>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</si>
  <si>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</si>
  <si>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</si>
  <si>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</si>
  <si>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</si>
  <si>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</si>
  <si>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</si>
  <si>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</si>
  <si>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</si>
  <si>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</si>
  <si>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</si>
  <si>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</si>
  <si>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</si>
  <si>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</si>
  <si>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</si>
  <si>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</si>
  <si>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</si>
  <si>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</si>
  <si>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</si>
  <si>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</si>
  <si>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</si>
  <si>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</si>
  <si>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</si>
  <si>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</si>
  <si>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</si>
  <si>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</si>
  <si>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</si>
  <si>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</si>
  <si>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</si>
  <si>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</si>
  <si>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</si>
  <si>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</si>
  <si>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</si>
  <si>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</si>
  <si>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</si>
  <si>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</si>
  <si>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</si>
  <si>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</si>
  <si>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</si>
  <si>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</si>
  <si>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</si>
  <si>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</si>
  <si>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</si>
  <si>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</si>
  <si>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</si>
  <si>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</si>
  <si>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</si>
  <si>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</si>
  <si>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</si>
  <si>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</si>
  <si>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</si>
  <si>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</si>
  <si>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</si>
  <si>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</si>
  <si>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</si>
  <si>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</si>
  <si>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</si>
  <si>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</si>
  <si>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</si>
  <si>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</si>
  <si>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</si>
  <si>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</si>
  <si>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</si>
  <si>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</si>
  <si>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</si>
  <si>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</si>
  <si>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</si>
  <si>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</si>
  <si>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</si>
  <si>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</si>
  <si>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</si>
  <si>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</si>
  <si>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</si>
  <si>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</si>
  <si>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</si>
  <si>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</si>
  <si>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</si>
  <si>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</si>
  <si>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</si>
  <si>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</si>
  <si>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</si>
  <si>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</si>
  <si>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</si>
  <si>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</si>
  <si>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</si>
  <si>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</si>
  <si>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</si>
  <si>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</si>
  <si>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</si>
  <si>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</si>
  <si>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</si>
  <si>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</si>
  <si>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</si>
  <si>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</si>
  <si>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</si>
  <si>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</si>
  <si>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</si>
  <si>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</si>
  <si>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</si>
  <si>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</si>
  <si>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</si>
  <si>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</si>
  <si>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</si>
  <si>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</si>
  <si>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</si>
  <si>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</si>
  <si>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</si>
  <si>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</si>
  <si>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</si>
  <si>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</si>
  <si>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</si>
  <si>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</si>
  <si>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</si>
  <si>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</si>
  <si>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</si>
  <si>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</si>
  <si>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</si>
  <si>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</si>
  <si>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</si>
  <si>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</si>
  <si>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</si>
  <si>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</si>
  <si>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</si>
  <si>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</si>
  <si>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</si>
  <si>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</si>
  <si>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</si>
  <si>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</si>
  <si>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</si>
  <si>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</si>
  <si>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</si>
  <si>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</si>
  <si>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</si>
  <si>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</si>
  <si>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</si>
  <si>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</si>
  <si>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</si>
  <si>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</si>
  <si>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</si>
  <si>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</si>
  <si>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</si>
  <si>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</si>
  <si>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</si>
  <si>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</si>
  <si>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</si>
  <si>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</si>
  <si>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</si>
  <si>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</si>
  <si>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</si>
  <si>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</si>
  <si>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</si>
  <si>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</si>
  <si>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</si>
  <si>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</si>
  <si>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</si>
  <si>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</si>
  <si>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</si>
  <si>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</si>
  <si>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</si>
  <si>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</si>
  <si>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</si>
  <si>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</si>
  <si>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</si>
  <si>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</si>
  <si>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</si>
  <si>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</si>
  <si>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</si>
  <si>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</si>
  <si>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</si>
  <si>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</si>
  <si>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</si>
  <si>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</si>
  <si>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</si>
  <si>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</si>
  <si>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</si>
  <si>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</si>
  <si>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</si>
  <si>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</si>
  <si>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</si>
  <si>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</si>
  <si>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</si>
  <si>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</si>
  <si>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</si>
  <si>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</si>
  <si>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</si>
  <si>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</si>
  <si>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</si>
  <si>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</si>
  <si>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</si>
  <si>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</si>
  <si>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</si>
  <si>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</si>
  <si>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</si>
  <si>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</si>
  <si>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</si>
  <si>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</si>
  <si>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</si>
  <si>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</si>
  <si>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</si>
  <si>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</si>
  <si>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</si>
  <si>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</si>
  <si>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</si>
  <si>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</si>
  <si>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</si>
  <si>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</si>
  <si>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</si>
  <si>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</si>
  <si>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</si>
  <si>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</si>
  <si>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</si>
  <si>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</si>
  <si>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</si>
  <si>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</si>
  <si>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</si>
  <si>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</si>
  <si>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</si>
  <si>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</si>
  <si>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</si>
  <si>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</si>
  <si>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</si>
  <si>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</si>
  <si>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</si>
  <si>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</si>
  <si>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</si>
  <si>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</si>
  <si>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</si>
  <si>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</si>
  <si>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</si>
  <si>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</si>
  <si>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</si>
  <si>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</si>
  <si>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</si>
  <si>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</si>
  <si>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</si>
  <si>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</si>
  <si>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</si>
  <si>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</si>
  <si>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</si>
  <si>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</si>
  <si>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</si>
  <si>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</si>
  <si>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</si>
  <si>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</si>
  <si>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</si>
  <si>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</si>
  <si>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</si>
  <si>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</si>
  <si>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</si>
  <si>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</si>
  <si>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</si>
  <si>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</si>
  <si>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</si>
  <si>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</si>
  <si>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</si>
  <si>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</si>
  <si>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</si>
  <si>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</si>
  <si>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</si>
  <si>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</si>
  <si>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</si>
  <si>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</si>
  <si>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</si>
  <si>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</si>
  <si>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</si>
  <si>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</si>
  <si>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</si>
  <si>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</si>
  <si>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</si>
  <si>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</si>
  <si>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</si>
  <si>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</si>
  <si>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</si>
  <si>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</si>
  <si>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</si>
  <si>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</si>
  <si>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</si>
  <si>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</si>
  <si>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</si>
  <si>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</si>
  <si>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</si>
  <si>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</si>
  <si>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</si>
  <si>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</si>
  <si>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</si>
  <si>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</si>
  <si>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</si>
  <si>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</si>
  <si>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</si>
  <si>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</si>
  <si>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</si>
  <si>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</si>
  <si>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</si>
  <si>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</si>
  <si>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</si>
  <si>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</si>
  <si>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</si>
  <si>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</si>
  <si>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</si>
  <si>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</si>
  <si>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</si>
  <si>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</si>
  <si>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</si>
  <si>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</si>
  <si>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</si>
  <si>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</si>
  <si>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</si>
  <si>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</si>
  <si>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</si>
  <si>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</si>
  <si>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</si>
  <si>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</si>
  <si>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</si>
  <si>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</si>
  <si>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</si>
  <si>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</si>
  <si>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</si>
  <si>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</si>
  <si>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</si>
  <si>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</si>
  <si>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</si>
  <si>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</si>
  <si>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</si>
  <si>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</si>
  <si>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</si>
  <si>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</si>
  <si>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</si>
  <si>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</si>
  <si>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</si>
  <si>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</si>
  <si>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</si>
  <si>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</si>
  <si>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</si>
  <si>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</si>
  <si>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</si>
  <si>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</si>
  <si>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</si>
  <si>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</si>
  <si>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</si>
  <si>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</si>
  <si>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</si>
  <si>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</si>
  <si>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</si>
  <si>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</si>
  <si>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</si>
  <si>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</si>
  <si>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</si>
  <si>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</si>
  <si>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</si>
  <si>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</si>
  <si>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</si>
  <si>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</si>
  <si>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</si>
  <si>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</si>
  <si>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</si>
  <si>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</si>
  <si>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</si>
  <si>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</si>
  <si>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</si>
  <si>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</si>
  <si>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</si>
  <si>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</si>
  <si>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</si>
  <si>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</si>
  <si>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</si>
  <si>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</si>
  <si>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</si>
  <si>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</si>
  <si>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</si>
  <si>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</si>
  <si>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</si>
  <si>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</si>
  <si>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</si>
  <si>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</si>
  <si>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</si>
  <si>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</si>
  <si>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</si>
  <si>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</si>
  <si>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</si>
  <si>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</si>
  <si>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</si>
  <si>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</si>
  <si>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</si>
  <si>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</si>
  <si>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</si>
  <si>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</si>
  <si>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</si>
  <si>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</si>
  <si>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</si>
  <si>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</si>
  <si>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</si>
  <si>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</si>
  <si>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</si>
  <si>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</si>
  <si>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</si>
  <si>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</si>
  <si>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</si>
  <si>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</si>
  <si>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</si>
  <si>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</si>
  <si>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</si>
  <si>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</si>
  <si>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</si>
  <si>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</si>
  <si>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</si>
  <si>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</si>
  <si>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</si>
  <si>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</si>
  <si>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</si>
  <si>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</si>
  <si>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</si>
  <si>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</si>
  <si>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</si>
  <si>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</si>
  <si>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</si>
  <si>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</si>
  <si>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</si>
  <si>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</si>
  <si>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</si>
  <si>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</si>
  <si>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</si>
  <si>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</si>
  <si>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</si>
  <si>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</si>
  <si>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</si>
  <si>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</si>
  <si>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</si>
  <si>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</si>
  <si>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</si>
  <si>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</si>
  <si>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</si>
  <si>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</si>
  <si>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</si>
  <si>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</si>
  <si>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</si>
  <si>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</si>
  <si>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</si>
  <si>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</si>
  <si>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</si>
  <si>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</si>
  <si>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</si>
  <si>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</si>
  <si>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</si>
  <si>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</si>
  <si>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</si>
  <si>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</si>
  <si>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</si>
  <si>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</si>
  <si>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</si>
  <si>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</si>
  <si>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</si>
  <si>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</si>
  <si>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</si>
  <si>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</si>
  <si>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</si>
  <si>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</si>
  <si>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</si>
  <si>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</si>
  <si>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</si>
  <si>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</si>
  <si>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</si>
  <si>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</si>
  <si>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</si>
  <si>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</si>
  <si>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</si>
  <si>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</si>
  <si>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</si>
  <si>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</si>
  <si>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</si>
  <si>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</si>
  <si>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</si>
  <si>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</si>
  <si>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</si>
  <si>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</si>
  <si>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</si>
  <si>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</si>
  <si>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</si>
  <si>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</si>
  <si>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</si>
  <si>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</si>
  <si>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</si>
  <si>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</si>
  <si>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</si>
  <si>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</si>
  <si>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</si>
  <si>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</si>
  <si>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</si>
  <si>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</si>
  <si>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</si>
  <si>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</si>
  <si>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</si>
  <si>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</si>
  <si>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</si>
  <si>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</si>
  <si>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</si>
  <si>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</si>
  <si>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</si>
  <si>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</si>
  <si>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</si>
  <si>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</si>
  <si>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</si>
  <si>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</si>
  <si>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</si>
  <si>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</si>
  <si>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</si>
  <si>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</si>
  <si>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</si>
  <si>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</si>
  <si>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</si>
  <si>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</si>
  <si>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</si>
  <si>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</si>
  <si>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</si>
  <si>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</si>
  <si>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</si>
  <si>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</si>
  <si>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</si>
  <si>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</si>
  <si>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</si>
  <si>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</si>
  <si>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</si>
  <si>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</si>
  <si>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</si>
  <si>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</si>
  <si>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</si>
  <si>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</si>
  <si>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</si>
  <si>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</si>
  <si>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</si>
  <si>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</si>
  <si>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</si>
  <si>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</si>
  <si>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</si>
  <si>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</si>
  <si>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</si>
  <si>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</si>
  <si>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</si>
  <si>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</si>
  <si>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</si>
  <si>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</si>
  <si>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</si>
  <si>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</si>
  <si>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</si>
  <si>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</si>
  <si>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</si>
  <si>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</si>
  <si>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</si>
  <si>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</si>
  <si>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</si>
  <si>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</si>
  <si>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</si>
  <si>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</si>
  <si>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</si>
  <si>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</si>
  <si>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</si>
  <si>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</si>
  <si>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</si>
  <si>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</si>
  <si>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</si>
  <si>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</si>
  <si>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</si>
  <si>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</si>
  <si>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</si>
  <si>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</si>
  <si>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</si>
  <si>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</si>
  <si>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</si>
  <si>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</si>
  <si>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</si>
  <si>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</si>
  <si>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</si>
  <si>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</si>
  <si>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</si>
  <si>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</si>
  <si>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</si>
  <si>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</si>
  <si>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</si>
  <si>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</si>
  <si>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</si>
  <si>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</si>
  <si>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</si>
  <si>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</si>
  <si>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</si>
  <si>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</si>
  <si>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</si>
  <si>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</si>
  <si>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</si>
  <si>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</si>
  <si>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</si>
  <si>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</si>
  <si>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</si>
  <si>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</si>
  <si>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</si>
  <si>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</si>
  <si>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</si>
  <si>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</si>
  <si>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</si>
  <si>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</si>
  <si>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</si>
  <si>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</si>
  <si>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</si>
  <si>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</si>
  <si>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</si>
  <si>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</si>
  <si>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</si>
  <si>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</si>
  <si>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</si>
  <si>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</si>
  <si>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</si>
  <si>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</si>
  <si>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</si>
  <si>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</si>
  <si>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</si>
  <si>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</si>
  <si>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</si>
  <si>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</si>
  <si>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</si>
  <si>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</si>
  <si>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</si>
  <si>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</si>
  <si>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</si>
  <si>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</si>
  <si>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</si>
  <si>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</si>
  <si>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</si>
  <si>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</si>
  <si>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</si>
  <si>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</si>
  <si>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</si>
  <si>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</si>
  <si>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</si>
  <si>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</si>
  <si>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</si>
  <si>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</si>
  <si>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</si>
  <si>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</si>
  <si>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</si>
  <si>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</si>
  <si>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</si>
  <si>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</si>
  <si>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</si>
  <si>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</si>
  <si>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</si>
  <si>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</si>
  <si>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</si>
  <si>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</si>
  <si>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</si>
  <si>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</si>
  <si>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</si>
  <si>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</si>
  <si>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</si>
  <si>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</si>
  <si>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</si>
  <si>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</si>
  <si>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</si>
  <si>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</si>
  <si>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</si>
  <si>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</si>
  <si>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</si>
  <si>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</si>
  <si>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</si>
  <si>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</si>
  <si>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</si>
  <si>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</si>
  <si>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</si>
  <si>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</si>
  <si>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</si>
  <si>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</si>
  <si>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</si>
  <si>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</si>
  <si>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</si>
  <si>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</si>
  <si>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</si>
  <si>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</si>
  <si>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</si>
  <si>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</si>
  <si>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</si>
  <si>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</si>
  <si>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</si>
  <si>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</si>
  <si>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</si>
  <si>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</si>
  <si>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</si>
  <si>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</si>
  <si>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</si>
  <si>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</si>
  <si>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</si>
  <si>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</si>
  <si>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</si>
  <si>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</si>
  <si>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</si>
  <si>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</si>
  <si>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</si>
  <si>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</si>
  <si>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</si>
  <si>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</si>
  <si>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</si>
  <si>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</si>
  <si>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</si>
  <si>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</si>
  <si>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</si>
  <si>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</si>
  <si>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</si>
  <si>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</si>
  <si>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</si>
  <si>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</si>
  <si>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</si>
  <si>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</si>
  <si>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</si>
  <si>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</si>
  <si>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</si>
  <si>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</si>
  <si>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</si>
  <si>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</si>
  <si>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</si>
  <si>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</si>
  <si>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</si>
  <si>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</si>
  <si>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</si>
  <si>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</si>
  <si>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</si>
  <si>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</si>
  <si>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</si>
  <si>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</si>
  <si>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</si>
  <si>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</si>
  <si>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</si>
  <si>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</si>
  <si>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</si>
  <si>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</si>
  <si>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</si>
  <si>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</si>
  <si>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</si>
  <si>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</si>
  <si>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</si>
  <si>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</si>
  <si>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</si>
  <si>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</si>
  <si>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</si>
  <si>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</si>
  <si>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</si>
  <si>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</si>
  <si>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</si>
  <si>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</si>
  <si>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</si>
  <si>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</si>
  <si>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</si>
  <si>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</si>
  <si>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</si>
  <si>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</si>
  <si>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</si>
  <si>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</si>
  <si>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</si>
  <si>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</si>
  <si>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</si>
  <si>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</si>
  <si>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</si>
  <si>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</si>
  <si>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</si>
  <si>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</si>
  <si>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</si>
  <si>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</si>
  <si>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</si>
  <si>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</si>
  <si>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</si>
  <si>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</si>
  <si>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</si>
  <si>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</si>
  <si>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</si>
  <si>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</si>
  <si>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</si>
  <si>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</si>
  <si>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</si>
  <si>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</si>
  <si>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</si>
  <si>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</si>
  <si>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</si>
  <si>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</si>
  <si>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</si>
  <si>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</si>
  <si>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</si>
  <si>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</si>
  <si>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</si>
  <si>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</si>
  <si>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</si>
  <si>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</si>
  <si>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</si>
  <si>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</si>
  <si>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</si>
  <si>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</si>
  <si>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</si>
  <si>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</si>
  <si>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</si>
  <si>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</si>
  <si>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</si>
  <si>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</si>
  <si>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</si>
  <si>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</si>
  <si>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</si>
  <si>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</si>
  <si>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</si>
  <si>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</si>
  <si>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</si>
  <si>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</si>
  <si>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</si>
  <si>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</si>
  <si>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</si>
  <si>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</si>
  <si>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</si>
  <si>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</si>
  <si>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</si>
  <si>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</si>
  <si>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</si>
  <si>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</si>
  <si>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</si>
  <si>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</si>
  <si>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</si>
  <si>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</si>
  <si>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</si>
  <si>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</si>
  <si>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</si>
  <si>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</si>
  <si>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</si>
  <si>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</si>
  <si>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</si>
  <si>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</si>
  <si>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</si>
  <si>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</si>
  <si>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</si>
  <si>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</si>
  <si>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</si>
  <si>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</si>
  <si>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</si>
  <si>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</si>
  <si>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</si>
  <si>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</si>
  <si>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</si>
  <si>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</si>
  <si>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</si>
  <si>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</si>
  <si>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</si>
  <si>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</si>
  <si>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</si>
  <si>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</si>
  <si>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</si>
  <si>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</si>
  <si>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</si>
  <si>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</si>
  <si>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</si>
  <si>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</si>
  <si>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</si>
  <si>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</si>
  <si>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</si>
  <si>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</si>
  <si>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</si>
  <si>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</si>
  <si>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</si>
  <si>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</si>
  <si>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</si>
  <si>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</si>
  <si>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</si>
  <si>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</si>
  <si>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</si>
  <si>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</si>
  <si>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</si>
  <si>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</si>
  <si>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</si>
  <si>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</si>
  <si>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</si>
  <si>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</si>
  <si>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</si>
  <si>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</si>
  <si>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</si>
  <si>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</si>
  <si>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</si>
  <si>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</si>
  <si>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</si>
  <si>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</si>
  <si>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</si>
  <si>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</si>
  <si>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</si>
  <si>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</si>
  <si>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</si>
  <si>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</si>
  <si>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</si>
  <si>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</si>
  <si>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</si>
  <si>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</si>
  <si>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</si>
  <si>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</si>
  <si>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</si>
  <si>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</si>
  <si>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</si>
  <si>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</si>
  <si>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</si>
  <si>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</si>
  <si>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</si>
  <si>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</si>
  <si>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</si>
  <si>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</si>
  <si>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</si>
  <si>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</si>
  <si>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</si>
  <si>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</si>
  <si>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</si>
  <si>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</si>
  <si>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</si>
  <si>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</si>
  <si>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</si>
  <si>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</si>
  <si>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</si>
  <si>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</si>
  <si>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</si>
  <si>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</si>
  <si>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</si>
  <si>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</si>
  <si>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</si>
  <si>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</si>
  <si>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</si>
  <si>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</si>
  <si>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</si>
  <si>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</si>
  <si>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</si>
  <si>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</si>
  <si>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</si>
  <si>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</si>
  <si>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</si>
  <si>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</si>
  <si>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</si>
  <si>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</si>
  <si>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</si>
  <si>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</si>
  <si>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</si>
  <si>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</si>
  <si>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</si>
  <si>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</si>
  <si>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</si>
  <si>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</si>
  <si>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</si>
  <si>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</si>
  <si>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</si>
  <si>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</si>
  <si>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</si>
  <si>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</si>
  <si>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</si>
  <si>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</si>
  <si>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</si>
  <si>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</si>
  <si>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</si>
  <si>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</si>
  <si>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</si>
  <si>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</si>
  <si>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</si>
  <si>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</si>
  <si>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</si>
  <si>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</si>
  <si>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</si>
  <si>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</si>
  <si>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</si>
  <si>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</si>
  <si>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</si>
  <si>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</si>
  <si>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</si>
  <si>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</si>
  <si>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</si>
  <si>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</si>
  <si>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</si>
  <si>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</si>
  <si>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</si>
  <si>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</si>
  <si>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</si>
  <si>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</si>
  <si>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</si>
  <si>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</si>
  <si>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</si>
  <si>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</si>
  <si>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</si>
  <si>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</si>
  <si>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</si>
  <si>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</si>
  <si>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</si>
  <si>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</si>
  <si>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</si>
  <si>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</si>
  <si>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</si>
  <si>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</si>
  <si>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</si>
  <si>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</si>
  <si>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</si>
  <si>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</si>
  <si>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</si>
  <si>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</si>
  <si>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</si>
  <si>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</si>
  <si>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427 Crownhardt Trail, Huntsville, Alabama 35810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</si>
  <si>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</si>
  <si>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</si>
  <si>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</si>
  <si>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</si>
  <si>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</si>
  <si>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</si>
  <si>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</si>
  <si>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</si>
  <si>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</si>
  <si>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</si>
  <si>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</si>
  <si>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</si>
  <si>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</si>
  <si>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</si>
  <si>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</si>
  <si>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</si>
  <si>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</si>
  <si>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</si>
  <si>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</si>
  <si>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</si>
  <si>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</si>
  <si>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</si>
  <si>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</si>
  <si>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</si>
  <si>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</si>
  <si>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</si>
  <si>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</si>
  <si>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</si>
  <si>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</si>
  <si>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</si>
  <si>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</si>
  <si>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</si>
  <si>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</si>
  <si>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</si>
  <si>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</si>
  <si>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</si>
  <si>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</si>
  <si>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</si>
  <si>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</si>
  <si>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</si>
  <si>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</si>
  <si>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</si>
  <si>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</si>
  <si>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</si>
  <si>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</si>
  <si>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</si>
  <si>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</si>
  <si>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</si>
  <si>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</si>
  <si>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</si>
  <si>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</si>
  <si>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</si>
  <si>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</si>
  <si>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</si>
  <si>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</si>
  <si>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</si>
  <si>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</si>
  <si>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</si>
  <si>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2 Anderson Avenue, New York City, New York 10115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</si>
  <si>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</si>
  <si>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</si>
  <si>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</si>
  <si>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</si>
  <si>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</si>
  <si>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</si>
  <si>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</si>
  <si>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</si>
  <si>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</si>
  <si>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</si>
  <si>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</si>
  <si>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</si>
  <si>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</si>
  <si>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</si>
  <si>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</si>
  <si>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</si>
  <si>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</si>
  <si>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</si>
  <si>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</si>
  <si>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</si>
  <si>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</si>
  <si>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</si>
  <si>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</si>
  <si>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</si>
  <si>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</si>
  <si>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</si>
  <si>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</si>
  <si>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</si>
  <si>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</si>
  <si>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</si>
  <si>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</si>
  <si>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</si>
  <si>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</si>
  <si>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</si>
  <si>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</si>
  <si>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</si>
  <si>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</si>
  <si>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</si>
  <si>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</si>
  <si>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</si>
  <si>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</si>
  <si>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</si>
  <si>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</si>
  <si>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</si>
  <si>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</si>
  <si>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</si>
  <si>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</si>
  <si>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</si>
  <si>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</si>
  <si>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</si>
  <si>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</si>
  <si>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</si>
  <si>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</si>
  <si>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</si>
  <si>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</si>
  <si>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</si>
  <si>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</si>
  <si>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</si>
  <si>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</si>
  <si>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</si>
  <si>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</si>
  <si>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</si>
  <si>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</si>
  <si>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</si>
  <si>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</si>
  <si>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</si>
  <si>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</si>
  <si>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</si>
  <si>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</si>
  <si>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</si>
  <si>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</si>
  <si>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</si>
  <si>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</si>
  <si>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</si>
  <si>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</si>
  <si>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</si>
  <si>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</si>
  <si>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</si>
  <si>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</si>
  <si>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</si>
  <si>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</si>
  <si>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</si>
  <si>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</si>
  <si>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</si>
  <si>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</si>
  <si>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</si>
  <si>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</si>
  <si>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</si>
  <si>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</si>
  <si>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</si>
  <si>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</si>
  <si>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</si>
  <si>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</si>
  <si>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</si>
  <si>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</si>
  <si>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</si>
  <si>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</si>
  <si>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</si>
  <si>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</si>
  <si>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</si>
  <si>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</si>
  <si>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</si>
  <si>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</si>
  <si>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</si>
  <si>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</si>
  <si>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</si>
  <si>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</si>
  <si>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</si>
  <si>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</si>
  <si>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</si>
  <si>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</si>
  <si>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</si>
  <si>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</si>
  <si>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</si>
  <si>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</si>
  <si>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</si>
  <si>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</si>
  <si>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</si>
  <si>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</si>
  <si>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</si>
  <si>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</si>
  <si>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</si>
  <si>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</si>
  <si>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</si>
  <si>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</si>
  <si>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</si>
  <si>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</si>
  <si>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</si>
  <si>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</si>
  <si>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</si>
  <si>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</si>
  <si>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</si>
  <si>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</si>
  <si>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</si>
  <si>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</si>
  <si>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</si>
  <si>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</si>
  <si>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</si>
  <si>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</si>
  <si>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</si>
  <si>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</si>
  <si>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</si>
  <si>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</si>
  <si>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</si>
  <si>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</si>
  <si>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</si>
  <si>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</si>
  <si>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</si>
  <si>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</si>
  <si>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</si>
  <si>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</si>
  <si>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</si>
  <si>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</si>
  <si>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</si>
  <si>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</si>
  <si>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</si>
  <si>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</si>
  <si>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</si>
  <si>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</si>
  <si>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</si>
  <si>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</si>
  <si>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</si>
  <si>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</si>
  <si>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</si>
  <si>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</si>
  <si>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</si>
  <si>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</si>
  <si>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</si>
  <si>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</si>
  <si>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</si>
  <si>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</si>
  <si>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</si>
  <si>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</si>
  <si>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</si>
  <si>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</si>
  <si>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</si>
  <si>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</si>
  <si>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</si>
  <si>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</si>
  <si>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</si>
  <si>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</si>
  <si>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</si>
  <si>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</si>
  <si>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</si>
  <si>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</si>
  <si>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</si>
  <si>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</si>
  <si>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</si>
  <si>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</si>
  <si>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</si>
  <si>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</si>
  <si>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</si>
  <si>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</si>
  <si>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</si>
  <si>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</si>
  <si>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</si>
  <si>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</si>
  <si>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</si>
  <si>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</si>
  <si>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</si>
  <si>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</si>
  <si>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</si>
  <si>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</si>
  <si>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</si>
  <si>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</si>
  <si>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</si>
  <si>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</si>
  <si>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</si>
  <si>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</si>
  <si>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</si>
  <si>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</si>
  <si>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</si>
  <si>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</si>
  <si>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</si>
  <si>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</si>
  <si>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</si>
  <si>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</si>
  <si>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</si>
  <si>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</si>
  <si>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</si>
  <si>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</si>
  <si>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</si>
  <si>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</si>
  <si>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</si>
  <si>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</si>
  <si>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</si>
  <si>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</si>
  <si>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</si>
  <si>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</si>
  <si>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</si>
  <si>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</si>
  <si>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</si>
  <si>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</si>
  <si>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</si>
  <si>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</si>
  <si>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</si>
  <si>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</si>
  <si>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</si>
  <si>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</si>
  <si>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</si>
  <si>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</si>
  <si>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</si>
  <si>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</si>
  <si>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</si>
  <si>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</si>
  <si>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</si>
  <si>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</si>
  <si>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</si>
  <si>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</si>
  <si>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</si>
  <si>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</si>
  <si>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</si>
  <si>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</si>
  <si>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</si>
  <si>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</si>
  <si>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</si>
  <si>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</si>
  <si>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</si>
  <si>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</si>
  <si>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</si>
  <si>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</si>
  <si>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</si>
  <si>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</si>
  <si>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</si>
  <si>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</si>
  <si>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</si>
  <si>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</si>
  <si>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</si>
  <si>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</si>
  <si>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</si>
  <si>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</si>
  <si>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</si>
  <si>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</si>
  <si>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</si>
  <si>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</si>
  <si>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</si>
  <si>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</si>
  <si>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</si>
  <si>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</si>
  <si>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</si>
  <si>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</si>
  <si>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</si>
  <si>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</si>
  <si>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</si>
  <si>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</si>
  <si>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</si>
  <si>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</si>
  <si>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</si>
  <si>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</si>
  <si>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</si>
  <si>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</si>
  <si>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</si>
  <si>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</si>
  <si>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</si>
  <si>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</si>
  <si>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</si>
  <si>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</si>
  <si>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</si>
  <si>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</si>
  <si>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</si>
  <si>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</si>
  <si>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</si>
  <si>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</si>
  <si>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</si>
  <si>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</si>
  <si>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</si>
  <si>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</si>
  <si>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</si>
  <si>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</si>
  <si>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</si>
  <si>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</si>
  <si>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</si>
  <si>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</si>
  <si>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</si>
  <si>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</si>
  <si>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</si>
  <si>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</si>
  <si>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</si>
  <si>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</si>
  <si>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</si>
  <si>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</si>
  <si>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</si>
  <si>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</si>
  <si>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</si>
  <si>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</si>
  <si>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</si>
  <si>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</si>
  <si>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</si>
  <si>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</si>
  <si>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</si>
  <si>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</si>
  <si>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</si>
  <si>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</si>
  <si>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</si>
  <si>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</si>
  <si>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</si>
  <si>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</si>
  <si>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</si>
  <si>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</si>
  <si>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</si>
  <si>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</si>
  <si>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</si>
  <si>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</si>
  <si>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</si>
  <si>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</si>
  <si>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</si>
  <si>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</si>
  <si>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</si>
  <si>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</si>
  <si>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</si>
  <si>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</si>
  <si>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</si>
  <si>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</si>
  <si>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</si>
  <si>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</si>
  <si>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</si>
  <si>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</si>
  <si>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</si>
  <si>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</si>
  <si>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</si>
  <si>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</si>
  <si>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</si>
  <si>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</si>
  <si>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</si>
  <si>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</si>
  <si>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</si>
  <si>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</si>
  <si>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</si>
  <si>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</si>
  <si>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</si>
  <si>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</si>
  <si>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</si>
  <si>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</si>
  <si>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</si>
  <si>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</si>
  <si>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</si>
  <si>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</si>
  <si>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</si>
  <si>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</si>
  <si>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</si>
  <si>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</si>
  <si>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</si>
  <si>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</si>
  <si>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</si>
  <si>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</si>
  <si>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</si>
  <si>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</si>
  <si>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</si>
  <si>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</si>
  <si>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</si>
  <si>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</si>
  <si>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</si>
  <si>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</si>
  <si>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</si>
  <si>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</si>
  <si>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</si>
  <si>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</si>
  <si>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</si>
  <si>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</si>
  <si>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</si>
  <si>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</si>
  <si>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</si>
  <si>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</si>
  <si>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</si>
  <si>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</si>
  <si>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</si>
  <si>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</si>
  <si>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</si>
  <si>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</si>
  <si>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</si>
  <si>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</si>
  <si>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</si>
  <si>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</si>
  <si>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</si>
  <si>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</si>
  <si>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</si>
  <si>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</si>
  <si>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</si>
  <si>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</si>
  <si>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</si>
  <si>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</si>
  <si>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</si>
  <si>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</si>
  <si>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</si>
  <si>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</si>
  <si>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</si>
  <si>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</si>
  <si>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</si>
  <si>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</si>
  <si>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</si>
  <si>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</si>
  <si>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</si>
  <si>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</si>
  <si>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</si>
  <si>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</si>
  <si>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</si>
  <si>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</si>
  <si>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</si>
  <si>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</si>
  <si>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</si>
  <si>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</si>
  <si>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</si>
  <si>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</si>
  <si>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</si>
  <si>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</si>
  <si>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</si>
  <si>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</si>
  <si>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</si>
  <si>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</si>
  <si>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</si>
  <si>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</si>
  <si>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</si>
  <si>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</si>
  <si>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</si>
  <si>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</si>
  <si>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</si>
  <si>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</si>
  <si>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</si>
  <si>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</si>
  <si>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</si>
  <si>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</si>
  <si>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</si>
  <si>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</si>
  <si>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</si>
  <si>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</si>
  <si>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</si>
  <si>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</si>
  <si>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</si>
  <si>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</si>
  <si>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</si>
  <si>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</si>
  <si>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</si>
  <si>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</si>
  <si>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</si>
  <si>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</si>
  <si>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</si>
  <si>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</si>
  <si>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</si>
  <si>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</si>
  <si>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</si>
  <si>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</si>
  <si>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</si>
  <si>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</si>
  <si>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</si>
  <si>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</si>
  <si>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</si>
  <si>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</si>
  <si>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</si>
  <si>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</si>
  <si>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</si>
  <si>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</si>
  <si>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</si>
  <si>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</si>
  <si>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</si>
  <si>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</si>
  <si>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</si>
  <si>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</si>
  <si>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</si>
  <si>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</si>
  <si>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</si>
  <si>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</si>
  <si>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</si>
  <si>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</si>
  <si>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</si>
  <si>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</si>
  <si>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</si>
  <si>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</si>
  <si>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</si>
  <si>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</si>
  <si>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</si>
  <si>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</si>
  <si>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</si>
  <si>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</si>
  <si>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</si>
  <si>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</si>
  <si>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</si>
  <si>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</si>
  <si>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</si>
  <si>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</si>
  <si>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</si>
  <si>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</si>
  <si>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</si>
  <si>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</si>
  <si>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</si>
  <si>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</si>
  <si>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</si>
  <si>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</si>
  <si>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</si>
  <si>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</si>
  <si>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</si>
  <si>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</si>
  <si>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</si>
  <si>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</si>
  <si>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</si>
  <si>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</si>
  <si>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</si>
  <si>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</si>
  <si>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</si>
  <si>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</si>
  <si>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</si>
  <si>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</si>
  <si>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</si>
  <si>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</si>
  <si>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</si>
  <si>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</si>
  <si>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</si>
  <si>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</si>
  <si>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</si>
  <si>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</si>
  <si>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</si>
  <si>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</si>
  <si>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</si>
  <si>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</si>
  <si>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</si>
  <si>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</si>
  <si>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</si>
  <si>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</si>
  <si>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</si>
  <si>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</si>
  <si>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</si>
  <si>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</si>
  <si>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</si>
  <si>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</si>
  <si>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</si>
  <si>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</si>
  <si>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</si>
  <si>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</si>
  <si>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</si>
  <si>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</si>
  <si>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</si>
  <si>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</si>
  <si>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</si>
  <si>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</si>
  <si>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</si>
  <si>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</si>
  <si>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</si>
  <si>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</si>
  <si>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</si>
  <si>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</si>
  <si>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</si>
  <si>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</si>
  <si>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</si>
  <si>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</si>
  <si>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</si>
  <si>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</si>
  <si>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</si>
  <si>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</si>
  <si>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</si>
  <si>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</si>
  <si>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</si>
  <si>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</si>
  <si>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</si>
  <si>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</si>
  <si>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</si>
  <si>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</si>
  <si>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</si>
  <si>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</si>
  <si>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</si>
  <si>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</si>
  <si>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</si>
  <si>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</si>
  <si>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</si>
  <si>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</si>
  <si>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</si>
  <si>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</si>
  <si>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</si>
  <si>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</si>
  <si>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</si>
  <si>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</si>
  <si>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</si>
  <si>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</si>
  <si>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</si>
  <si>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</si>
  <si>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</si>
  <si>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</si>
  <si>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</si>
  <si>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</si>
  <si>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</si>
  <si>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</si>
  <si>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</si>
  <si>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</si>
  <si>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</si>
  <si>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</si>
  <si>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</si>
  <si>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</si>
  <si>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</si>
  <si>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</si>
  <si>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</si>
  <si>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</si>
  <si>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</si>
  <si>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</si>
  <si>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</si>
  <si>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</si>
  <si>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</si>
  <si>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</si>
  <si>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</si>
  <si>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</si>
  <si>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</si>
  <si>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</si>
  <si>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</si>
  <si>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</si>
  <si>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</si>
  <si>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</si>
  <si>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</si>
  <si>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</si>
  <si>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</si>
  <si>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</si>
  <si>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</si>
  <si>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</si>
  <si>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</si>
  <si>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</si>
  <si>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</si>
  <si>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</si>
  <si>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</si>
  <si>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</si>
  <si>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</si>
  <si>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</si>
  <si>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</si>
  <si>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</si>
  <si>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</si>
  <si>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</si>
  <si>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</si>
  <si>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</si>
  <si>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</si>
  <si>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</si>
  <si>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</si>
  <si>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</si>
  <si>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</si>
  <si>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</si>
  <si>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</si>
  <si>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</si>
  <si>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</si>
  <si>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</si>
  <si>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</si>
  <si>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</si>
  <si>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</si>
  <si>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</si>
  <si>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</si>
  <si>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</si>
  <si>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</si>
  <si>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</si>
  <si>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</si>
  <si>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</si>
  <si>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</si>
  <si>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</si>
  <si>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</si>
  <si>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</si>
  <si>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</si>
  <si>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</si>
  <si>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</si>
  <si>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</si>
  <si>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</si>
  <si>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</si>
  <si>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</si>
  <si>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</si>
  <si>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</si>
  <si>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</si>
  <si>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</si>
  <si>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</si>
  <si>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</si>
  <si>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</si>
  <si>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</si>
  <si>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</si>
  <si>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</si>
  <si>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</si>
  <si>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</si>
  <si>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</si>
  <si>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</si>
  <si>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</si>
  <si>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</si>
  <si>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</si>
  <si>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</si>
  <si>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</si>
  <si>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</si>
  <si>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</si>
  <si>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</si>
  <si>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</si>
  <si>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</si>
  <si>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</si>
  <si>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</si>
  <si>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</si>
  <si>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</si>
  <si>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</si>
  <si>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</si>
  <si>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</si>
  <si>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</si>
  <si>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</si>
  <si>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</si>
  <si>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</si>
  <si>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</si>
  <si>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</si>
  <si>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</si>
  <si>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</si>
  <si>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</si>
  <si>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</si>
  <si>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</si>
  <si>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</si>
  <si>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</si>
  <si>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</si>
  <si>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</si>
  <si>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</si>
  <si>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</si>
  <si>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</si>
  <si>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</si>
  <si>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</si>
  <si>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</si>
  <si>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</si>
  <si>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</si>
  <si>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</si>
  <si>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</si>
  <si>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</si>
  <si>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</si>
  <si>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</si>
  <si>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</si>
  <si>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</si>
  <si>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</si>
  <si>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</si>
  <si>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</si>
  <si>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</si>
  <si>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</si>
  <si>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</si>
  <si>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</si>
  <si>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</si>
  <si>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</si>
  <si>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</si>
  <si>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</si>
  <si>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</si>
  <si>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</si>
  <si>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</si>
  <si>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</si>
  <si>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</si>
  <si>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</si>
  <si>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</si>
  <si>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</si>
  <si>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</si>
  <si>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</si>
  <si>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</si>
  <si>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</si>
  <si>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</si>
  <si>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</si>
  <si>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</si>
  <si>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</si>
  <si>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</si>
  <si>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</si>
  <si>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</si>
  <si>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</si>
  <si>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</si>
  <si>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</si>
  <si>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</si>
  <si>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</si>
  <si>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</si>
  <si>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</si>
  <si>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</si>
  <si>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</si>
  <si>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</si>
  <si>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</si>
  <si>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</si>
  <si>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</si>
  <si>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</si>
  <si>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</si>
  <si>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</si>
  <si>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</si>
  <si>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</si>
  <si>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</si>
  <si>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</si>
  <si>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</si>
  <si>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</si>
  <si>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</si>
  <si>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</si>
  <si>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</si>
  <si>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</si>
  <si>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</si>
  <si>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</si>
  <si>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</si>
  <si>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</si>
  <si>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</si>
  <si>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</si>
  <si>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</si>
  <si>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</si>
  <si>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</si>
  <si>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</si>
  <si>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</si>
  <si>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</si>
  <si>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</si>
  <si>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</si>
  <si>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</si>
  <si>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</si>
  <si>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</si>
  <si>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</si>
  <si>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</si>
  <si>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</si>
  <si>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</si>
  <si>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</si>
  <si>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</si>
  <si>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</si>
  <si>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</si>
  <si>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</si>
  <si>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</si>
  <si>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</si>
  <si>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</si>
  <si>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</si>
  <si>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</si>
  <si>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</si>
  <si>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</si>
  <si>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</si>
  <si>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</si>
  <si>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</si>
  <si>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</si>
  <si>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</si>
  <si>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</si>
  <si>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</si>
  <si>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</si>
  <si>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</si>
  <si>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</si>
  <si>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</si>
  <si>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</si>
  <si>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</si>
  <si>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</si>
  <si>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</si>
  <si>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</si>
  <si>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</si>
  <si>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</si>
  <si>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</si>
  <si>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</si>
  <si>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</si>
  <si>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</si>
  <si>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</si>
  <si>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</si>
  <si>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</si>
  <si>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</si>
  <si>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</si>
  <si>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</si>
  <si>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</si>
  <si>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</si>
  <si>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</si>
  <si>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</si>
  <si>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</si>
  <si>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</si>
  <si>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</si>
  <si>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</si>
  <si>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</si>
  <si>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</si>
  <si>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</si>
  <si>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</si>
  <si>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</si>
  <si>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</si>
  <si>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</si>
  <si>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</si>
  <si>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</si>
  <si>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</si>
  <si>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</si>
  <si>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</si>
  <si>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</si>
  <si>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</si>
  <si>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</si>
  <si>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</si>
  <si>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</si>
  <si>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</si>
  <si>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</si>
  <si>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</si>
  <si>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</si>
  <si>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</si>
  <si>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</si>
  <si>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</si>
  <si>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</si>
  <si>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</si>
  <si>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</si>
  <si>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</si>
  <si>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</si>
  <si>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</si>
  <si>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</si>
  <si>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</si>
  <si>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</si>
  <si>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</si>
  <si>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</si>
  <si>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</si>
  <si>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</si>
  <si>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</si>
  <si>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</si>
  <si>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</si>
  <si>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</si>
  <si>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</si>
  <si>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</si>
  <si>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</si>
  <si>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</si>
  <si>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</si>
  <si>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</si>
  <si>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</si>
  <si>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</si>
  <si>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</si>
  <si>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</si>
  <si>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</si>
  <si>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</si>
  <si>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</si>
  <si>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</si>
  <si>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</si>
  <si>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</si>
  <si>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</si>
  <si>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</si>
  <si>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</si>
  <si>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</si>
  <si>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</si>
  <si>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</si>
  <si>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</si>
  <si>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</si>
  <si>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</si>
  <si>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</si>
  <si>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</si>
  <si>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</si>
  <si>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</si>
  <si>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</si>
  <si>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</si>
  <si>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</si>
  <si>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</si>
  <si>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</si>
  <si>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</si>
  <si>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</si>
  <si>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</si>
  <si>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</si>
  <si>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</si>
  <si>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</si>
  <si>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</si>
  <si>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</si>
  <si>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</si>
  <si>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</si>
  <si>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</si>
  <si>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</si>
  <si>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</si>
  <si>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</si>
  <si>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</si>
  <si>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</si>
  <si>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</si>
  <si>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</si>
  <si>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</si>
  <si>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</si>
  <si>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</si>
  <si>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</si>
  <si>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</si>
  <si>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</si>
  <si>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</si>
  <si>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</si>
  <si>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</si>
  <si>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</si>
  <si>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</si>
  <si>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</si>
  <si>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</si>
  <si>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</si>
  <si>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</si>
  <si>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</si>
  <si>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</si>
  <si>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</si>
  <si>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</si>
  <si>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</si>
  <si>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</si>
  <si>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</si>
  <si>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</si>
  <si>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</si>
  <si>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</si>
  <si>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</si>
  <si>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</si>
  <si>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</si>
  <si>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</si>
  <si>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</si>
  <si>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</si>
  <si>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</si>
  <si>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</si>
  <si>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</si>
  <si>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</si>
  <si>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</si>
  <si>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</si>
  <si>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</si>
  <si>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</si>
  <si>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</si>
  <si>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</si>
  <si>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</si>
  <si>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</si>
  <si>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</si>
  <si>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</si>
  <si>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</si>
  <si>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</si>
  <si>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</si>
  <si>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</si>
  <si>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</si>
  <si>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</si>
  <si>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</si>
  <si>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</si>
  <si>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</si>
  <si>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</si>
  <si>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</si>
  <si>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</si>
  <si>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</si>
  <si>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</si>
  <si>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</si>
  <si>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</si>
  <si>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</si>
  <si>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</si>
  <si>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</si>
  <si>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</si>
  <si>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</si>
  <si>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</si>
  <si>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</si>
  <si>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</si>
  <si>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</si>
  <si>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</si>
  <si>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</si>
  <si>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</si>
  <si>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</si>
  <si>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</si>
  <si>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</si>
  <si>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</si>
  <si>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</si>
  <si>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</si>
  <si>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</si>
  <si>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</si>
  <si>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</si>
  <si>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</si>
  <si>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</si>
  <si>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Brannon</t>
  </si>
  <si>
    <t>Favill</t>
  </si>
  <si>
    <t>Oliffe</t>
  </si>
  <si>
    <t>Betser</t>
  </si>
  <si>
    <t>Petley</t>
  </si>
  <si>
    <t>Gannan</t>
  </si>
  <si>
    <t>Cordova</t>
  </si>
  <si>
    <t>Powder</t>
  </si>
  <si>
    <t>Franek</t>
  </si>
  <si>
    <t>Heiton</t>
  </si>
  <si>
    <t>Vokins</t>
  </si>
  <si>
    <t>Wanklyn</t>
  </si>
  <si>
    <t>Jeanneau</t>
  </si>
  <si>
    <t>Arens</t>
  </si>
  <si>
    <t>Noyce</t>
  </si>
  <si>
    <t>Mallinson</t>
  </si>
  <si>
    <t>Kuhnt</t>
  </si>
  <si>
    <t>Wonter</t>
  </si>
  <si>
    <t>Foulcher</t>
  </si>
  <si>
    <t>Mowsley</t>
  </si>
  <si>
    <t>Floweth</t>
  </si>
  <si>
    <t>Grund</t>
  </si>
  <si>
    <t>Reddick</t>
  </si>
  <si>
    <t>Attenbrow</t>
  </si>
  <si>
    <t>Sandy</t>
  </si>
  <si>
    <t>Merrilees</t>
  </si>
  <si>
    <t>Bloy</t>
  </si>
  <si>
    <t>Fidelus</t>
  </si>
  <si>
    <t>Mehmet</t>
  </si>
  <si>
    <t>Burkwood</t>
  </si>
  <si>
    <t>Spellward</t>
  </si>
  <si>
    <t>Tilio</t>
  </si>
  <si>
    <t>Lewton</t>
  </si>
  <si>
    <t>Hulbert</t>
  </si>
  <si>
    <t>Cod</t>
  </si>
  <si>
    <t>Puckrin</t>
  </si>
  <si>
    <t>Rubinovitch</t>
  </si>
  <si>
    <t>Bowkley</t>
  </si>
  <si>
    <t>Littleton</t>
  </si>
  <si>
    <t>Tran</t>
  </si>
  <si>
    <t>McElwee</t>
  </si>
  <si>
    <t>Chesney</t>
  </si>
  <si>
    <t>Daens</t>
  </si>
  <si>
    <t>Kieran</t>
  </si>
  <si>
    <t>Cluff</t>
  </si>
  <si>
    <t>McIntee</t>
  </si>
  <si>
    <t>Greenhaugh</t>
  </si>
  <si>
    <t>Newbigging</t>
  </si>
  <si>
    <t>Cabral</t>
  </si>
  <si>
    <t>Evelyn</t>
  </si>
  <si>
    <t>Cruickshank</t>
  </si>
  <si>
    <t>Laux</t>
  </si>
  <si>
    <t>Dods</t>
  </si>
  <si>
    <t>Delf</t>
  </si>
  <si>
    <t>Mulqueen</t>
  </si>
  <si>
    <t>Float</t>
  </si>
  <si>
    <t>Coldham</t>
  </si>
  <si>
    <t>Ashburner</t>
  </si>
  <si>
    <t>Suggey</t>
  </si>
  <si>
    <t>Bernhardt</t>
  </si>
  <si>
    <t>Grimme</t>
  </si>
  <si>
    <t>Sturgess</t>
  </si>
  <si>
    <t>Doody</t>
  </si>
  <si>
    <t>Tregona</t>
  </si>
  <si>
    <t>Madine</t>
  </si>
  <si>
    <t>Bolens</t>
  </si>
  <si>
    <t>Soares</t>
  </si>
  <si>
    <t>Dignum</t>
  </si>
  <si>
    <t>Prozescky</t>
  </si>
  <si>
    <t>Cadogan</t>
  </si>
  <si>
    <t>Blackler</t>
  </si>
  <si>
    <t>Nel</t>
  </si>
  <si>
    <t>MacTrusty</t>
  </si>
  <si>
    <t>Canete</t>
  </si>
  <si>
    <t>Knoller</t>
  </si>
  <si>
    <t>Sate</t>
  </si>
  <si>
    <t>Pasek</t>
  </si>
  <si>
    <t>Malkin</t>
  </si>
  <si>
    <t>Muckley</t>
  </si>
  <si>
    <t>Toms</t>
  </si>
  <si>
    <t>Perroni</t>
  </si>
  <si>
    <t>Matthews</t>
  </si>
  <si>
    <t>Soal</t>
  </si>
  <si>
    <t>Colthard</t>
  </si>
  <si>
    <t>Epton</t>
  </si>
  <si>
    <t>Butson</t>
  </si>
  <si>
    <t>Dureden</t>
  </si>
  <si>
    <t>Rieger</t>
  </si>
  <si>
    <t>Oleszkiewicz</t>
  </si>
  <si>
    <t>Finneran</t>
  </si>
  <si>
    <t>Garraway</t>
  </si>
  <si>
    <t>Gill</t>
  </si>
  <si>
    <t>Byles</t>
  </si>
  <si>
    <t>Maillard</t>
  </si>
  <si>
    <t>Narramor</t>
  </si>
  <si>
    <t>Talman</t>
  </si>
  <si>
    <t>Broske</t>
  </si>
  <si>
    <t>Keller</t>
  </si>
  <si>
    <t>Basley</t>
  </si>
  <si>
    <t>Mutter</t>
  </si>
  <si>
    <t>Fyrth</t>
  </si>
  <si>
    <t>Lack</t>
  </si>
  <si>
    <t>Haistwell</t>
  </si>
  <si>
    <t>Deetch</t>
  </si>
  <si>
    <t>Mushrow</t>
  </si>
  <si>
    <t>Lequeux</t>
  </si>
  <si>
    <t>Bather</t>
  </si>
  <si>
    <t>Donovin</t>
  </si>
  <si>
    <t>Padson</t>
  </si>
  <si>
    <t>Mowling</t>
  </si>
  <si>
    <t>Pietzke</t>
  </si>
  <si>
    <t>Giacaponi</t>
  </si>
  <si>
    <t>Hacket</t>
  </si>
  <si>
    <t>Boneham</t>
  </si>
  <si>
    <t>Balloch</t>
  </si>
  <si>
    <t>Woolston</t>
  </si>
  <si>
    <t>Fisher</t>
  </si>
  <si>
    <t>Aldritt</t>
  </si>
  <si>
    <t>Scoon</t>
  </si>
  <si>
    <t>Dugget</t>
  </si>
  <si>
    <t>Scorrer</t>
  </si>
  <si>
    <t>Mantram</t>
  </si>
  <si>
    <t>Stockley</t>
  </si>
  <si>
    <t>Widdup</t>
  </si>
  <si>
    <t>Sotheron</t>
  </si>
  <si>
    <t>Coulbeck</t>
  </si>
  <si>
    <t>Ivchenko</t>
  </si>
  <si>
    <t>Berthomieu</t>
  </si>
  <si>
    <t>Dreamer</t>
  </si>
  <si>
    <t>Butte</t>
  </si>
  <si>
    <t>Gasker</t>
  </si>
  <si>
    <t>Keling</t>
  </si>
  <si>
    <t>Arlow</t>
  </si>
  <si>
    <t>Ivanilov</t>
  </si>
  <si>
    <t>Gerrels</t>
  </si>
  <si>
    <t>Wenman</t>
  </si>
  <si>
    <t>Lamcken</t>
  </si>
  <si>
    <t>Nicol</t>
  </si>
  <si>
    <t>Adamiec</t>
  </si>
  <si>
    <t>Jedrachowicz</t>
  </si>
  <si>
    <t>Roman</t>
  </si>
  <si>
    <t>McFaell</t>
  </si>
  <si>
    <t>Magog</t>
  </si>
  <si>
    <t>Jerche</t>
  </si>
  <si>
    <t>Langridge</t>
  </si>
  <si>
    <t>Mathevon</t>
  </si>
  <si>
    <t>Biddiss</t>
  </si>
  <si>
    <t>Readie</t>
  </si>
  <si>
    <t>McShane</t>
  </si>
  <si>
    <t>Haskett</t>
  </si>
  <si>
    <t>Keenleyside</t>
  </si>
  <si>
    <t>Longcake</t>
  </si>
  <si>
    <t>O'Duggan</t>
  </si>
  <si>
    <t>Slipper</t>
  </si>
  <si>
    <t>Lanaway</t>
  </si>
  <si>
    <t>Barrat</t>
  </si>
  <si>
    <t>Leaming</t>
  </si>
  <si>
    <t>Manuely</t>
  </si>
  <si>
    <t>Aguirre</t>
  </si>
  <si>
    <t>Brenneke</t>
  </si>
  <si>
    <t>Fabler</t>
  </si>
  <si>
    <t>Trahar</t>
  </si>
  <si>
    <t>Waddup</t>
  </si>
  <si>
    <t>Pammenter</t>
  </si>
  <si>
    <t>Milverton</t>
  </si>
  <si>
    <t>Churchard</t>
  </si>
  <si>
    <t>Strooband</t>
  </si>
  <si>
    <t>Leech</t>
  </si>
  <si>
    <t>Curtain</t>
  </si>
  <si>
    <t>Caban</t>
  </si>
  <si>
    <t>Spencer</t>
  </si>
  <si>
    <t>Secrett</t>
  </si>
  <si>
    <t>Tearney</t>
  </si>
  <si>
    <t>Staines</t>
  </si>
  <si>
    <t>Alenov</t>
  </si>
  <si>
    <t>Davison</t>
  </si>
  <si>
    <t>Basso</t>
  </si>
  <si>
    <t>Muckle</t>
  </si>
  <si>
    <t>Brenstuhl</t>
  </si>
  <si>
    <t>Newart</t>
  </si>
  <si>
    <t>Poser</t>
  </si>
  <si>
    <t>Le Guin</t>
  </si>
  <si>
    <t>Hurlin</t>
  </si>
  <si>
    <t>Northeast</t>
  </si>
  <si>
    <t>MacParlan</t>
  </si>
  <si>
    <t>Inglesant</t>
  </si>
  <si>
    <t>Haynes</t>
  </si>
  <si>
    <t>Kilduff</t>
  </si>
  <si>
    <t>Bonner</t>
  </si>
  <si>
    <t>Skingle</t>
  </si>
  <si>
    <t>Tilberry</t>
  </si>
  <si>
    <t>Hallahan</t>
  </si>
  <si>
    <t>Knocker</t>
  </si>
  <si>
    <t>Whiten</t>
  </si>
  <si>
    <t>Gierck</t>
  </si>
  <si>
    <t>Malster</t>
  </si>
  <si>
    <t>Matthaus</t>
  </si>
  <si>
    <t>Balston</t>
  </si>
  <si>
    <t>Ashcroft</t>
  </si>
  <si>
    <t>Du Fray</t>
  </si>
  <si>
    <t>Bastian</t>
  </si>
  <si>
    <t>Marner</t>
  </si>
  <si>
    <t>MacNab</t>
  </si>
  <si>
    <t>Ormrod</t>
  </si>
  <si>
    <t>Schottli</t>
  </si>
  <si>
    <t>Boord</t>
  </si>
  <si>
    <t>Woodage</t>
  </si>
  <si>
    <t>Smissen</t>
  </si>
  <si>
    <t>Dowson</t>
  </si>
  <si>
    <t>Scourgie</t>
  </si>
  <si>
    <t>Pawlaczyk</t>
  </si>
  <si>
    <t>Andric</t>
  </si>
  <si>
    <t>Pomfret</t>
  </si>
  <si>
    <t>Pembery</t>
  </si>
  <si>
    <t>Rickman</t>
  </si>
  <si>
    <t>Prendergast</t>
  </si>
  <si>
    <t>Lambole</t>
  </si>
  <si>
    <t>Firminger</t>
  </si>
  <si>
    <t>Aleso</t>
  </si>
  <si>
    <t>Kimmons</t>
  </si>
  <si>
    <t>Edghinn</t>
  </si>
  <si>
    <t>Blundell</t>
  </si>
  <si>
    <t>Yellowlee</t>
  </si>
  <si>
    <t>Gilardone</t>
  </si>
  <si>
    <t>Wint</t>
  </si>
  <si>
    <t>Franz</t>
  </si>
  <si>
    <t>Benza</t>
  </si>
  <si>
    <t>Gerriets</t>
  </si>
  <si>
    <t>Nowaczyk</t>
  </si>
  <si>
    <t>Tinker</t>
  </si>
  <si>
    <t>Norville</t>
  </si>
  <si>
    <t>Slowgrove</t>
  </si>
  <si>
    <t>Clinnick</t>
  </si>
  <si>
    <t>Methven</t>
  </si>
  <si>
    <t>Priter</t>
  </si>
  <si>
    <t>Mussetti</t>
  </si>
  <si>
    <t>Von Hindenburg</t>
  </si>
  <si>
    <t>Abbati</t>
  </si>
  <si>
    <t>Ferraraccio</t>
  </si>
  <si>
    <t>Albasiny</t>
  </si>
  <si>
    <t>Ramel</t>
  </si>
  <si>
    <t>Doswell</t>
  </si>
  <si>
    <t>Kiehl</t>
  </si>
  <si>
    <t>Kempshall</t>
  </si>
  <si>
    <t>Kernan</t>
  </si>
  <si>
    <t>Lysaght</t>
  </si>
  <si>
    <t>Schlagtmans</t>
  </si>
  <si>
    <t>Payn</t>
  </si>
  <si>
    <t>Walkinshaw</t>
  </si>
  <si>
    <t>Vassano</t>
  </si>
  <si>
    <t>Adamov</t>
  </si>
  <si>
    <t>Collcutt</t>
  </si>
  <si>
    <t>Mill</t>
  </si>
  <si>
    <t>Berriman</t>
  </si>
  <si>
    <t>Philips</t>
  </si>
  <si>
    <t>Reeday</t>
  </si>
  <si>
    <t>McMurtyr</t>
  </si>
  <si>
    <t>Poolman</t>
  </si>
  <si>
    <t>Argabrite</t>
  </si>
  <si>
    <t>Comizzoli</t>
  </si>
  <si>
    <t>Greser</t>
  </si>
  <si>
    <t>Tommasuzzi</t>
  </si>
  <si>
    <t>Vinck</t>
  </si>
  <si>
    <t>Wooder</t>
  </si>
  <si>
    <t>Jiran</t>
  </si>
  <si>
    <t>Demongeot</t>
  </si>
  <si>
    <t>Dorney</t>
  </si>
  <si>
    <t>Swinbourne</t>
  </si>
  <si>
    <t>Androsik</t>
  </si>
  <si>
    <t>Galle</t>
  </si>
  <si>
    <t>Tucker</t>
  </si>
  <si>
    <t>Pearlman</t>
  </si>
  <si>
    <t>Judron</t>
  </si>
  <si>
    <t>Flatt</t>
  </si>
  <si>
    <t>Ickowicz</t>
  </si>
  <si>
    <t>Bartrum</t>
  </si>
  <si>
    <t>Franscioni</t>
  </si>
  <si>
    <t>Tallent</t>
  </si>
  <si>
    <t>Chilton</t>
  </si>
  <si>
    <t>Enrika</t>
  </si>
  <si>
    <t>Noella</t>
  </si>
  <si>
    <t>Dian</t>
  </si>
  <si>
    <t>Kristofer</t>
  </si>
  <si>
    <t>Katheryn</t>
  </si>
  <si>
    <t>Lilllie</t>
  </si>
  <si>
    <t>Giffer</t>
  </si>
  <si>
    <t>Nancey</t>
  </si>
  <si>
    <t>Marty</t>
  </si>
  <si>
    <t>Roana</t>
  </si>
  <si>
    <t>Meier</t>
  </si>
  <si>
    <t>Bette-ann</t>
  </si>
  <si>
    <t>Norby</t>
  </si>
  <si>
    <t>Leonidas</t>
  </si>
  <si>
    <t>Hattie</t>
  </si>
  <si>
    <t>Kippy</t>
  </si>
  <si>
    <t>Augustin</t>
  </si>
  <si>
    <t>Zenia</t>
  </si>
  <si>
    <t>Caro</t>
  </si>
  <si>
    <t>Neddy</t>
  </si>
  <si>
    <t>Lissy</t>
  </si>
  <si>
    <t>Patricio</t>
  </si>
  <si>
    <t>Diena</t>
  </si>
  <si>
    <t>Ellynn</t>
  </si>
  <si>
    <t>Nevil</t>
  </si>
  <si>
    <t>Anselm</t>
  </si>
  <si>
    <t>Dido</t>
  </si>
  <si>
    <t>Nannette</t>
  </si>
  <si>
    <t>Mufi</t>
  </si>
  <si>
    <t>Lezlie</t>
  </si>
  <si>
    <t>Rand</t>
  </si>
  <si>
    <t>Brear</t>
  </si>
  <si>
    <t>Myrtia</t>
  </si>
  <si>
    <t>Novelia</t>
  </si>
  <si>
    <t>Melisent</t>
  </si>
  <si>
    <t>Hamlin</t>
  </si>
  <si>
    <t>Susanna</t>
  </si>
  <si>
    <t>Faber</t>
  </si>
  <si>
    <t>Grange</t>
  </si>
  <si>
    <t>Babara</t>
  </si>
  <si>
    <t>Thurstan</t>
  </si>
  <si>
    <t>Avie</t>
  </si>
  <si>
    <t>Bear</t>
  </si>
  <si>
    <t>Erny</t>
  </si>
  <si>
    <t>Zena</t>
  </si>
  <si>
    <t>Yasmin</t>
  </si>
  <si>
    <t>Greta</t>
  </si>
  <si>
    <t>Madelena</t>
  </si>
  <si>
    <t>Hubie</t>
  </si>
  <si>
    <t>Elsworth</t>
  </si>
  <si>
    <t>Olvan</t>
  </si>
  <si>
    <t>Jayson</t>
  </si>
  <si>
    <t>Gabby</t>
  </si>
  <si>
    <t>Babbette</t>
  </si>
  <si>
    <t>Harmonie</t>
  </si>
  <si>
    <t>Alberta</t>
  </si>
  <si>
    <t>Vilma</t>
  </si>
  <si>
    <t>Woodman</t>
  </si>
  <si>
    <t>Connor</t>
  </si>
  <si>
    <t>Britteny</t>
  </si>
  <si>
    <t>Arlette</t>
  </si>
  <si>
    <t>Desi</t>
  </si>
  <si>
    <t>Gertruda</t>
  </si>
  <si>
    <t>Carrissa</t>
  </si>
  <si>
    <t>Levi</t>
  </si>
  <si>
    <t>Bent</t>
  </si>
  <si>
    <t>Melinde</t>
  </si>
  <si>
    <t>Quintin</t>
  </si>
  <si>
    <t>Edan</t>
  </si>
  <si>
    <t>Melanie</t>
  </si>
  <si>
    <t>Papagena</t>
  </si>
  <si>
    <t>Rhea</t>
  </si>
  <si>
    <t>Jade</t>
  </si>
  <si>
    <t>Ly</t>
  </si>
  <si>
    <t>Stearne</t>
  </si>
  <si>
    <t>Garfield</t>
  </si>
  <si>
    <t>Olin</t>
  </si>
  <si>
    <t>York</t>
  </si>
  <si>
    <t>Jamie</t>
  </si>
  <si>
    <t>Honey</t>
  </si>
  <si>
    <t>Duane</t>
  </si>
  <si>
    <t>Jeanie</t>
  </si>
  <si>
    <t>Quinton</t>
  </si>
  <si>
    <t>Kelcey</t>
  </si>
  <si>
    <t>Sari</t>
  </si>
  <si>
    <t>Zachery</t>
  </si>
  <si>
    <t>Marika</t>
  </si>
  <si>
    <t>Emilio</t>
  </si>
  <si>
    <t>Tod</t>
  </si>
  <si>
    <t>Zsazsa</t>
  </si>
  <si>
    <t>Celestina</t>
  </si>
  <si>
    <t>Kandace</t>
  </si>
  <si>
    <t>Kizzie</t>
  </si>
  <si>
    <t>Brandi</t>
  </si>
  <si>
    <t>Ginnie</t>
  </si>
  <si>
    <t>Karna</t>
  </si>
  <si>
    <t>Sam</t>
  </si>
  <si>
    <t>Fowler</t>
  </si>
  <si>
    <t>Andonis</t>
  </si>
  <si>
    <t>Doroteya</t>
  </si>
  <si>
    <t>Barri</t>
  </si>
  <si>
    <t>Geno</t>
  </si>
  <si>
    <t>Jody</t>
  </si>
  <si>
    <t>Selinda</t>
  </si>
  <si>
    <t>Rosalynd</t>
  </si>
  <si>
    <t>Claudianus</t>
  </si>
  <si>
    <t>Park</t>
  </si>
  <si>
    <t>Diana</t>
  </si>
  <si>
    <t>Pearline</t>
  </si>
  <si>
    <t>Hakeem</t>
  </si>
  <si>
    <t>Rance</t>
  </si>
  <si>
    <t>Lorianna</t>
  </si>
  <si>
    <t>Vaughn</t>
  </si>
  <si>
    <t>Thornton</t>
  </si>
  <si>
    <t>Kristos</t>
  </si>
  <si>
    <t>Lyndsey</t>
  </si>
  <si>
    <t>Zebulon</t>
  </si>
  <si>
    <t>Kelby</t>
  </si>
  <si>
    <t>Netty</t>
  </si>
  <si>
    <t>Lilias</t>
  </si>
  <si>
    <t>Rorie</t>
  </si>
  <si>
    <t>Lura</t>
  </si>
  <si>
    <t>Caryl</t>
  </si>
  <si>
    <t>Lucho</t>
  </si>
  <si>
    <t>Celka</t>
  </si>
  <si>
    <t>Abrahan</t>
  </si>
  <si>
    <t>Lucie</t>
  </si>
  <si>
    <t>Isak</t>
  </si>
  <si>
    <t>Rowe</t>
  </si>
  <si>
    <t>Tony</t>
  </si>
  <si>
    <t>Cyndie</t>
  </si>
  <si>
    <t>Grayce</t>
  </si>
  <si>
    <t>Teodoor</t>
  </si>
  <si>
    <t>Zorine</t>
  </si>
  <si>
    <t>Salvador</t>
  </si>
  <si>
    <t>Adelbert</t>
  </si>
  <si>
    <t>Dylan</t>
  </si>
  <si>
    <t>Cyrillus</t>
  </si>
  <si>
    <t>Roze</t>
  </si>
  <si>
    <t>Franciskus</t>
  </si>
  <si>
    <t>Ellerey</t>
  </si>
  <si>
    <t>Dov</t>
  </si>
  <si>
    <t>Laney</t>
  </si>
  <si>
    <t>Othilia</t>
  </si>
  <si>
    <t>Othella</t>
  </si>
  <si>
    <t>Barr</t>
  </si>
  <si>
    <t>Sheilah</t>
  </si>
  <si>
    <t>Lillian</t>
  </si>
  <si>
    <t>Archambault</t>
  </si>
  <si>
    <t>Juliet</t>
  </si>
  <si>
    <t>Pier</t>
  </si>
  <si>
    <t>Ellwood</t>
  </si>
  <si>
    <t>Olly</t>
  </si>
  <si>
    <t>Ashleigh</t>
  </si>
  <si>
    <t>Jard</t>
  </si>
  <si>
    <t>Ara</t>
  </si>
  <si>
    <t>Zilvia</t>
  </si>
  <si>
    <t>Myra</t>
  </si>
  <si>
    <t>Rhonda</t>
  </si>
  <si>
    <t>Livia</t>
  </si>
  <si>
    <t>Dory</t>
  </si>
  <si>
    <t>Meg</t>
  </si>
  <si>
    <t>Emanuel</t>
  </si>
  <si>
    <t>Frederica</t>
  </si>
  <si>
    <t>Caleb</t>
  </si>
  <si>
    <t>Adamo</t>
  </si>
  <si>
    <t>Patric</t>
  </si>
  <si>
    <t>Fiona</t>
  </si>
  <si>
    <t>Bari</t>
  </si>
  <si>
    <t>Gar</t>
  </si>
  <si>
    <t>Lucine</t>
  </si>
  <si>
    <t>Stevana</t>
  </si>
  <si>
    <t>Judye</t>
  </si>
  <si>
    <t>Ennis</t>
  </si>
  <si>
    <t>Valentine</t>
  </si>
  <si>
    <t>Elianore</t>
  </si>
  <si>
    <t>Julianna</t>
  </si>
  <si>
    <t>Shurlock</t>
  </si>
  <si>
    <t>Kaela</t>
  </si>
  <si>
    <t>Minni</t>
  </si>
  <si>
    <t>Donnell</t>
  </si>
  <si>
    <t>Joela</t>
  </si>
  <si>
    <t>Alyce</t>
  </si>
  <si>
    <t>Sax</t>
  </si>
  <si>
    <t>Upton</t>
  </si>
  <si>
    <t>Karleen</t>
  </si>
  <si>
    <t>Freeman</t>
  </si>
  <si>
    <t>Matelda</t>
  </si>
  <si>
    <t>Linc</t>
  </si>
  <si>
    <t>Dniren</t>
  </si>
  <si>
    <t>Waneta</t>
  </si>
  <si>
    <t>Dayle</t>
  </si>
  <si>
    <t>Moishe</t>
  </si>
  <si>
    <t>Davey</t>
  </si>
  <si>
    <t>Jada</t>
  </si>
  <si>
    <t>Dag</t>
  </si>
  <si>
    <t>Andros</t>
  </si>
  <si>
    <t>Kirbie</t>
  </si>
  <si>
    <t>Daune</t>
  </si>
  <si>
    <t>Meggie</t>
  </si>
  <si>
    <t>Idaline</t>
  </si>
  <si>
    <t>Krystle</t>
  </si>
  <si>
    <t>Simonette</t>
  </si>
  <si>
    <t>Spence</t>
  </si>
  <si>
    <t>Gypsy</t>
  </si>
  <si>
    <t>Rockie</t>
  </si>
  <si>
    <t>Ambrosi</t>
  </si>
  <si>
    <t>Lilia</t>
  </si>
  <si>
    <t>Colman</t>
  </si>
  <si>
    <t>Mendie</t>
  </si>
  <si>
    <t>Jereme</t>
  </si>
  <si>
    <t>Anson</t>
  </si>
  <si>
    <t>Judie</t>
  </si>
  <si>
    <t>Gasparo</t>
  </si>
  <si>
    <t>Jacquetta</t>
  </si>
  <si>
    <t>Jeniffer</t>
  </si>
  <si>
    <t>Gran</t>
  </si>
  <si>
    <t>Rosalyn</t>
  </si>
  <si>
    <t>Tomaso</t>
  </si>
  <si>
    <t>Christine</t>
  </si>
  <si>
    <t>Tamra</t>
  </si>
  <si>
    <t>Ingaberg</t>
  </si>
  <si>
    <t>Meghann</t>
  </si>
  <si>
    <t>Lief</t>
  </si>
  <si>
    <t>Lane</t>
  </si>
  <si>
    <t>Grover</t>
  </si>
  <si>
    <t>Goldarina</t>
  </si>
  <si>
    <t>Germain</t>
  </si>
  <si>
    <t>Bunny</t>
  </si>
  <si>
    <t>Sher</t>
  </si>
  <si>
    <t>Cort</t>
  </si>
  <si>
    <t>Noach</t>
  </si>
  <si>
    <t>Lacy</t>
  </si>
  <si>
    <t>Charlena</t>
  </si>
  <si>
    <t>Karel</t>
  </si>
  <si>
    <t>Esra</t>
  </si>
  <si>
    <t>Agatha</t>
  </si>
  <si>
    <t>Tabina</t>
  </si>
  <si>
    <t>Jean</t>
  </si>
  <si>
    <t>Hercule</t>
  </si>
  <si>
    <t>Umberto</t>
  </si>
  <si>
    <t>Viola</t>
  </si>
  <si>
    <t>Camile</t>
  </si>
  <si>
    <t>Toma</t>
  </si>
  <si>
    <t>Sammy</t>
  </si>
  <si>
    <t>Christen</t>
  </si>
  <si>
    <t>Sigrid</t>
  </si>
  <si>
    <t>Mischa</t>
  </si>
  <si>
    <t>Pierrette</t>
  </si>
  <si>
    <t>Adrianna</t>
  </si>
  <si>
    <t>Augustus</t>
  </si>
  <si>
    <t>Brice</t>
  </si>
  <si>
    <t>Emmi</t>
  </si>
  <si>
    <t>Baily</t>
  </si>
  <si>
    <t>Fredrick</t>
  </si>
  <si>
    <t>Rollo</t>
  </si>
  <si>
    <t>Nicolis</t>
  </si>
  <si>
    <t>Friedrich</t>
  </si>
  <si>
    <t>Bordy</t>
  </si>
  <si>
    <t>Renaud</t>
  </si>
  <si>
    <t>Paolo</t>
  </si>
  <si>
    <t>Maddy</t>
  </si>
  <si>
    <t>Dallon</t>
  </si>
  <si>
    <t>Chico</t>
  </si>
  <si>
    <t>Alden</t>
  </si>
  <si>
    <t>Silvana</t>
  </si>
  <si>
    <t>Fulvia</t>
  </si>
  <si>
    <t>Staffard</t>
  </si>
  <si>
    <t>Vinnie</t>
  </si>
  <si>
    <t>Marris</t>
  </si>
  <si>
    <t>Seumas</t>
  </si>
  <si>
    <t>Almeda</t>
  </si>
  <si>
    <t>Emmy</t>
  </si>
  <si>
    <t>Gardener</t>
  </si>
  <si>
    <t>(520) 206-6847</t>
  </si>
  <si>
    <t>(202) 543-6964</t>
  </si>
  <si>
    <t>(706) 679-5347</t>
  </si>
  <si>
    <t>(520) 120-8988</t>
  </si>
  <si>
    <t>(336) 152-5308</t>
  </si>
  <si>
    <t>(216) 369-9199</t>
  </si>
  <si>
    <t>(716) 381-4250</t>
  </si>
  <si>
    <t>(415) 658-3718</t>
  </si>
  <si>
    <t>(616) 881-1697</t>
  </si>
  <si>
    <t>(434) 257-3416</t>
  </si>
  <si>
    <t>(904) 216-3262</t>
  </si>
  <si>
    <t>(267) 898-2051</t>
  </si>
  <si>
    <t>(623) 489-0249</t>
  </si>
  <si>
    <t>(713) 929-6845</t>
  </si>
  <si>
    <t>(314) 753-1136</t>
  </si>
  <si>
    <t>(303) 987-0513</t>
  </si>
  <si>
    <t>(612) 736-9625</t>
  </si>
  <si>
    <t>(206) 449-5653</t>
  </si>
  <si>
    <t>(405) 346-3706</t>
  </si>
  <si>
    <t>(619) 981-4142</t>
  </si>
  <si>
    <t>(240) 633-3419</t>
  </si>
  <si>
    <t>(502) 164-8181</t>
  </si>
  <si>
    <t>(682) 815-7801</t>
  </si>
  <si>
    <t>(646) 441-2026</t>
  </si>
  <si>
    <t>(501) 420-4368</t>
  </si>
  <si>
    <t>(214) 482-6880</t>
  </si>
  <si>
    <t>(412) 607-8694</t>
  </si>
  <si>
    <t>(910) 633-1737</t>
  </si>
  <si>
    <t>(806) 634-8545</t>
  </si>
  <si>
    <t>(864) 206-6419</t>
  </si>
  <si>
    <t>(713) 513-9220</t>
  </si>
  <si>
    <t>(281) 854-2183</t>
  </si>
  <si>
    <t>(619) 981-3148</t>
  </si>
  <si>
    <t>(704) 587-5770</t>
  </si>
  <si>
    <t>(808) 861-0795</t>
  </si>
  <si>
    <t>(865) 740-9388</t>
  </si>
  <si>
    <t>(203) 653-6658</t>
  </si>
  <si>
    <t>(713) 407-7098</t>
  </si>
  <si>
    <t>(937) 700-7363</t>
  </si>
  <si>
    <t>(347) 737-6513</t>
  </si>
  <si>
    <t>(612) 635-2324</t>
  </si>
  <si>
    <t>(212) 251-6128</t>
  </si>
  <si>
    <t>(785) 235-3102</t>
  </si>
  <si>
    <t>(217) 864-0048</t>
  </si>
  <si>
    <t>(913) 492-4409</t>
  </si>
  <si>
    <t>(215) 508-3004</t>
  </si>
  <si>
    <t>(225) 244-3168</t>
  </si>
  <si>
    <t>(215) 871-2200</t>
  </si>
  <si>
    <t>(410) 701-1416</t>
  </si>
  <si>
    <t>(812) 247-1369</t>
  </si>
  <si>
    <t>(816) 325-3615</t>
  </si>
  <si>
    <t>(585) 897-2395</t>
  </si>
  <si>
    <t>(415) 804-4278</t>
  </si>
  <si>
    <t>(610) 709-9818</t>
  </si>
  <si>
    <t>(254) 504-3992</t>
  </si>
  <si>
    <t>(312) 251-4804</t>
  </si>
  <si>
    <t>(318) 186-1888</t>
  </si>
  <si>
    <t>(402) 343-2900</t>
  </si>
  <si>
    <t>(407) 951-2200</t>
  </si>
  <si>
    <t>(407) 405-7590</t>
  </si>
  <si>
    <t>(912) 783-5385</t>
  </si>
  <si>
    <t>(309) 819-4048</t>
  </si>
  <si>
    <t>(515) 947-5139</t>
  </si>
  <si>
    <t>(808) 171-1800</t>
  </si>
  <si>
    <t>(317) 379-0357</t>
  </si>
  <si>
    <t>(406) 923-0301</t>
  </si>
  <si>
    <t>(206) 703-1799</t>
  </si>
  <si>
    <t>(602) 801-5364</t>
  </si>
  <si>
    <t>(605) 887-6890</t>
  </si>
  <si>
    <t>(718) 579-9713</t>
  </si>
  <si>
    <t>(775) 564-2905</t>
  </si>
  <si>
    <t>(309) 979-3004</t>
  </si>
  <si>
    <t>(323) 332-3599</t>
  </si>
  <si>
    <t>(603) 968-6498</t>
  </si>
  <si>
    <t>(862) 967-3478</t>
  </si>
  <si>
    <t>(862) 108-7671</t>
  </si>
  <si>
    <t>(256) 309-3038</t>
  </si>
  <si>
    <t>(281) 419-3795</t>
  </si>
  <si>
    <t>(479) 521-3944</t>
  </si>
  <si>
    <t>(202) 323-7294</t>
  </si>
  <si>
    <t>(713) 326-5884</t>
  </si>
  <si>
    <t>(312) 591-0240</t>
  </si>
  <si>
    <t>(813) 736-1043</t>
  </si>
  <si>
    <t>(907) 655-8619</t>
  </si>
  <si>
    <t>(415) 765-3152</t>
  </si>
  <si>
    <t>(714) 370-7304</t>
  </si>
  <si>
    <t>(754) 265-3929</t>
  </si>
  <si>
    <t>(502) 903-9640</t>
  </si>
  <si>
    <t>(612) 921-3790</t>
  </si>
  <si>
    <t>(304) 972-9602</t>
  </si>
  <si>
    <t>(850) 396-7403</t>
  </si>
  <si>
    <t>(405) 116-0374</t>
  </si>
  <si>
    <t>(850) 758-7407</t>
  </si>
  <si>
    <t>(801) 283-9627</t>
  </si>
  <si>
    <t>(321) 379-3138</t>
  </si>
  <si>
    <t>(214) 754-7478</t>
  </si>
  <si>
    <t>(661) 364-7068</t>
  </si>
  <si>
    <t>(312) 281-9226</t>
  </si>
  <si>
    <t>(205) 342-4665</t>
  </si>
  <si>
    <t>(956) 188-8743</t>
  </si>
  <si>
    <t>(304) 416-6735</t>
  </si>
  <si>
    <t>(608) 168-9190</t>
  </si>
  <si>
    <t>(912) 815-7600</t>
  </si>
  <si>
    <t>(323) 331-1921</t>
  </si>
  <si>
    <t>(405) 903-1499</t>
  </si>
  <si>
    <t>(254) 407-1887</t>
  </si>
  <si>
    <t>(810) 999-7648</t>
  </si>
  <si>
    <t>(562) 274-8513</t>
  </si>
  <si>
    <t>(205) 299-2286</t>
  </si>
  <si>
    <t>(909) 369-0426</t>
  </si>
  <si>
    <t>(850) 628-7813</t>
  </si>
  <si>
    <t>(520) 856-9275</t>
  </si>
  <si>
    <t>(503) 223-0056</t>
  </si>
  <si>
    <t>(949) 366-0133</t>
  </si>
  <si>
    <t>(617) 449-6521</t>
  </si>
  <si>
    <t>(513) 223-8761</t>
  </si>
  <si>
    <t>(651) 523-1498</t>
  </si>
  <si>
    <t>(352) 989-8994</t>
  </si>
  <si>
    <t>(415) 404-4140</t>
  </si>
  <si>
    <t>(916) 337-2354</t>
  </si>
  <si>
    <t>(412) 604-2462</t>
  </si>
  <si>
    <t>(916) 434-2390</t>
  </si>
  <si>
    <t>(210) 788-1311</t>
  </si>
  <si>
    <t>(404) 497-3590</t>
  </si>
  <si>
    <t>(615) 180-4473</t>
  </si>
  <si>
    <t>(717) 881-7526</t>
  </si>
  <si>
    <t>(915) 277-3689</t>
  </si>
  <si>
    <t>(309) 695-5670</t>
  </si>
  <si>
    <t>(312) 632-3306</t>
  </si>
  <si>
    <t>(650) 625-6919</t>
  </si>
  <si>
    <t>(813) 166-8108</t>
  </si>
  <si>
    <t>(336) 198-0103</t>
  </si>
  <si>
    <t>(786) 403-5042</t>
  </si>
  <si>
    <t>(208) 734-7125</t>
  </si>
  <si>
    <t>(713) 831-8984</t>
  </si>
  <si>
    <t>(512) 880-2014</t>
  </si>
  <si>
    <t>(315) 215-9269</t>
  </si>
  <si>
    <t>(832) 390-7138</t>
  </si>
  <si>
    <t>(215) 179-7123</t>
  </si>
  <si>
    <t>(952) 573-2792</t>
  </si>
  <si>
    <t>(505) 240-4506</t>
  </si>
  <si>
    <t>(305) 252-2853</t>
  </si>
  <si>
    <t>(718) 490-3307</t>
  </si>
  <si>
    <t>(304) 876-3279</t>
  </si>
  <si>
    <t>(408) 619-1461</t>
  </si>
  <si>
    <t>(907) 817-6290</t>
  </si>
  <si>
    <t>(804) 710-6418</t>
  </si>
  <si>
    <t>(405) 174-5111</t>
  </si>
  <si>
    <t>(860) 234-9030</t>
  </si>
  <si>
    <t>(503) 760-4107</t>
  </si>
  <si>
    <t>(617) 114-0369</t>
  </si>
  <si>
    <t>(415) 195-9976</t>
  </si>
  <si>
    <t>(812) 423-3752</t>
  </si>
  <si>
    <t>(602) 303-3923</t>
  </si>
  <si>
    <t>(602) 921-6344</t>
  </si>
  <si>
    <t>(214) 858-3608</t>
  </si>
  <si>
    <t>(917) 961-8395</t>
  </si>
  <si>
    <t>(803) 623-4006</t>
  </si>
  <si>
    <t>(763) 633-7705</t>
  </si>
  <si>
    <t>(608) 229-5654</t>
  </si>
  <si>
    <t>(772) 370-0613</t>
  </si>
  <si>
    <t>(570) 990-4231</t>
  </si>
  <si>
    <t>(612) 174-7944</t>
  </si>
  <si>
    <t>(303) 676-0563</t>
  </si>
  <si>
    <t>(330) 522-2003</t>
  </si>
  <si>
    <t>(714) 707-5850</t>
  </si>
  <si>
    <t>(571) 150-0223</t>
  </si>
  <si>
    <t>(515) 612-8934</t>
  </si>
  <si>
    <t>(813) 279-0445</t>
  </si>
  <si>
    <t>(954) 853-7635</t>
  </si>
  <si>
    <t>(202) 197-7196</t>
  </si>
  <si>
    <t>(412) 504-4307</t>
  </si>
  <si>
    <t>(813) 680-2138</t>
  </si>
  <si>
    <t>(515) 534-7313</t>
  </si>
  <si>
    <t>(417) 609-7640</t>
  </si>
  <si>
    <t>(814) 542-4532</t>
  </si>
  <si>
    <t>(309) 606-0606</t>
  </si>
  <si>
    <t>(915) 962-4114</t>
  </si>
  <si>
    <t>(864) 489-0007</t>
  </si>
  <si>
    <t>(317) 360-9847</t>
  </si>
  <si>
    <t>(325) 898-4586</t>
  </si>
  <si>
    <t>(202) 177-6189</t>
  </si>
  <si>
    <t>(210) 953-4916</t>
  </si>
  <si>
    <t>(404) 852-4992</t>
  </si>
  <si>
    <t>(303) 652-6208</t>
  </si>
  <si>
    <t>(817) 287-3272</t>
  </si>
  <si>
    <t>(405) 508-1864</t>
  </si>
  <si>
    <t>(831) 839-5272</t>
  </si>
  <si>
    <t>(503) 948-1661</t>
  </si>
  <si>
    <t>(901) 537-4409</t>
  </si>
  <si>
    <t>(915) 419-0855</t>
  </si>
  <si>
    <t>(305) 930-9402</t>
  </si>
  <si>
    <t>(337) 476-4484</t>
  </si>
  <si>
    <t>(718) 777-8120</t>
  </si>
  <si>
    <t>(860) 969-9303</t>
  </si>
  <si>
    <t>(917) 837-2725</t>
  </si>
  <si>
    <t>(208) 785-1937</t>
  </si>
  <si>
    <t>(765) 263-9458</t>
  </si>
  <si>
    <t>(323) 410-3253</t>
  </si>
  <si>
    <t>(801) 470-9017</t>
  </si>
  <si>
    <t>(203) 191-2925</t>
  </si>
  <si>
    <t>(415) 156-2022</t>
  </si>
  <si>
    <t>(315) 750-4055</t>
  </si>
  <si>
    <t>(916) 663-5942</t>
  </si>
  <si>
    <t>(757) 683-2768</t>
  </si>
  <si>
    <t>(863) 393-1435</t>
  </si>
  <si>
    <t>(505) 283-1847</t>
  </si>
  <si>
    <t>(312) 776-2709</t>
  </si>
  <si>
    <t>(518) 599-0178</t>
  </si>
  <si>
    <t>(224) 725-0528</t>
  </si>
  <si>
    <t>(512) 922-4197</t>
  </si>
  <si>
    <t>(404) 106-6832</t>
  </si>
  <si>
    <t>(216) 217-2327</t>
  </si>
  <si>
    <t>(602) 183-9360</t>
  </si>
  <si>
    <t>(617) 956-7858</t>
  </si>
  <si>
    <t>(585) 461-2763</t>
  </si>
  <si>
    <t>(717) 749-8799</t>
  </si>
  <si>
    <t>(206) 829-2286</t>
  </si>
  <si>
    <t>(785) 829-4971</t>
  </si>
  <si>
    <t>(915) 217-2970</t>
  </si>
  <si>
    <t>(610) 335-4983</t>
  </si>
  <si>
    <t>(304) 694-3553</t>
  </si>
  <si>
    <t>(410) 670-2098</t>
  </si>
  <si>
    <t>(903) 545-2328</t>
  </si>
  <si>
    <t>(502) 669-7473</t>
  </si>
  <si>
    <t>(520) 499-8192</t>
  </si>
  <si>
    <t>(303) 508-5747</t>
  </si>
  <si>
    <t>(361) 121-7103</t>
  </si>
  <si>
    <t>(213) 421-3511</t>
  </si>
  <si>
    <t>(623) 119-8870</t>
  </si>
  <si>
    <t>(850) 292-3823</t>
  </si>
  <si>
    <t>(918) 505-0100</t>
  </si>
  <si>
    <t>(915) 673-9132</t>
  </si>
  <si>
    <t>(614) 237-6911</t>
  </si>
  <si>
    <t>(786) 331-3475</t>
  </si>
  <si>
    <t>(202) 983-1527</t>
  </si>
  <si>
    <t>(325) 111-6058</t>
  </si>
  <si>
    <t>(253) 521-9451</t>
  </si>
  <si>
    <t>(203) 369-6783</t>
  </si>
  <si>
    <t>(559) 757-9598</t>
  </si>
  <si>
    <t>(618) 633-3686</t>
  </si>
  <si>
    <t>(714) 195-5093</t>
  </si>
  <si>
    <t>(801) 632-4969</t>
  </si>
  <si>
    <t>(971) 130-1030</t>
  </si>
  <si>
    <t>(216) 638-7265</t>
  </si>
  <si>
    <t>(909) 397-1068</t>
  </si>
  <si>
    <t>(207) 105-6193</t>
  </si>
  <si>
    <t>(202) 194-6836</t>
  </si>
  <si>
    <t>(212) 272-2570</t>
  </si>
  <si>
    <t>(704) 643-7578</t>
  </si>
  <si>
    <t>(214) 783-7550</t>
  </si>
  <si>
    <t>(419) 508-4038</t>
  </si>
  <si>
    <t>(517) 387-0475</t>
  </si>
  <si>
    <t>(209) 756-0673</t>
  </si>
  <si>
    <t>(509) 670-7274</t>
  </si>
  <si>
    <t>(304) 773-3984</t>
  </si>
  <si>
    <t>(770) 469-7277</t>
  </si>
  <si>
    <t>(571) 847-9875</t>
  </si>
  <si>
    <t>(323) 592-4368</t>
  </si>
  <si>
    <t>(603) 871-1758</t>
  </si>
  <si>
    <t>(571) 767-5648</t>
  </si>
  <si>
    <t>(415) 473-9596</t>
  </si>
  <si>
    <t>(717) 411-0935</t>
  </si>
  <si>
    <t>(937) 516-5416</t>
  </si>
  <si>
    <t>(571) 959-4717</t>
  </si>
  <si>
    <t>(574) 746-1830</t>
  </si>
  <si>
    <t>(916) 548-8735</t>
  </si>
  <si>
    <t>(713) 884-3698</t>
  </si>
  <si>
    <t>(801) 102-9218</t>
  </si>
  <si>
    <t>(907) 155-9004</t>
  </si>
  <si>
    <t>(816) 650-1178</t>
  </si>
  <si>
    <t>(812) 734-1497</t>
  </si>
  <si>
    <t>(419) 807-2959</t>
  </si>
  <si>
    <t>(203) 730-1456</t>
  </si>
  <si>
    <t>(952) 547-7677</t>
  </si>
  <si>
    <t>(202) 166-9413</t>
  </si>
  <si>
    <t>(210) 539-4060</t>
  </si>
  <si>
    <t>(714) 292-0073</t>
  </si>
  <si>
    <t>Independence</t>
  </si>
  <si>
    <t>Texas</t>
  </si>
  <si>
    <t>Utah</t>
  </si>
  <si>
    <t>Glendale</t>
  </si>
  <si>
    <t>Arizona</t>
  </si>
  <si>
    <t>Delaware</t>
  </si>
  <si>
    <t>Lakeland</t>
  </si>
  <si>
    <t>Maryland</t>
  </si>
  <si>
    <t>Columbus</t>
  </si>
  <si>
    <t>Colorado</t>
  </si>
  <si>
    <t>Ohio</t>
  </si>
  <si>
    <t>Iowa</t>
  </si>
  <si>
    <t>Washington</t>
  </si>
  <si>
    <t>427 Crownhardt Trail</t>
  </si>
  <si>
    <t>Huntsville</t>
  </si>
  <si>
    <t>7454 Gale Center</t>
  </si>
  <si>
    <t>Hamilton</t>
  </si>
  <si>
    <t>1556 Wayridge Crossing</t>
  </si>
  <si>
    <t>Alexandria</t>
  </si>
  <si>
    <t>087 Sherman Point</t>
  </si>
  <si>
    <t>Memphis</t>
  </si>
  <si>
    <t>57448 Mendota Alley</t>
  </si>
  <si>
    <t>Nashville</t>
  </si>
  <si>
    <t>1 Carberry Pass</t>
  </si>
  <si>
    <t>Fresno</t>
  </si>
  <si>
    <t>6962 Anhalt Center</t>
  </si>
  <si>
    <t>Roanoke</t>
  </si>
  <si>
    <t>58 Kensington Trail</t>
  </si>
  <si>
    <t>Shreveport</t>
  </si>
  <si>
    <t>5235 La Follette Parkway</t>
  </si>
  <si>
    <t>Newton</t>
  </si>
  <si>
    <t>07137 Straubel Court</t>
  </si>
  <si>
    <t>Hagerstown</t>
  </si>
  <si>
    <t>16791 Independence Junction</t>
  </si>
  <si>
    <t>Maple Plain</t>
  </si>
  <si>
    <t>6312 Hoffman Junction</t>
  </si>
  <si>
    <t>Valley Forge</t>
  </si>
  <si>
    <t>12 Florence Park</t>
  </si>
  <si>
    <t>Kalamazoo</t>
  </si>
  <si>
    <t>06 Texas Avenue</t>
  </si>
  <si>
    <t>Tallahassee</t>
  </si>
  <si>
    <t>94 Delladonna Parkway</t>
  </si>
  <si>
    <t>Albany</t>
  </si>
  <si>
    <t>1617 Vidon Crossing</t>
  </si>
  <si>
    <t>87 Kipling Junction</t>
  </si>
  <si>
    <t>Knoxville</t>
  </si>
  <si>
    <t>16 Garrison Circle</t>
  </si>
  <si>
    <t>Saint Cloud</t>
  </si>
  <si>
    <t>1 Canary Parkway</t>
  </si>
  <si>
    <t>Wichita</t>
  </si>
  <si>
    <t>35 Lotheville Alley</t>
  </si>
  <si>
    <t>Salt Lake City</t>
  </si>
  <si>
    <t>19 Dunning Hill</t>
  </si>
  <si>
    <t>El Paso</t>
  </si>
  <si>
    <t>38 Bluejay Center</t>
  </si>
  <si>
    <t>San Diego</t>
  </si>
  <si>
    <t>362 Summer Ridge Drive</t>
  </si>
  <si>
    <t>Denver</t>
  </si>
  <si>
    <t>8 Truax Hill</t>
  </si>
  <si>
    <t>Reading</t>
  </si>
  <si>
    <t>4 Northport Plaza</t>
  </si>
  <si>
    <t>Little Rock</t>
  </si>
  <si>
    <t>220 Walton Trail</t>
  </si>
  <si>
    <t>Omaha</t>
  </si>
  <si>
    <t>971 Kinsman Trail</t>
  </si>
  <si>
    <t>1582 Jackson Alley</t>
  </si>
  <si>
    <t>San Jose</t>
  </si>
  <si>
    <t>32579 Sachs Avenue</t>
  </si>
  <si>
    <t>Oklahoma City</t>
  </si>
  <si>
    <t>853 Drewry Lane</t>
  </si>
  <si>
    <t>Miami</t>
  </si>
  <si>
    <t>254 Kedzie Drive</t>
  </si>
  <si>
    <t>Lancaster</t>
  </si>
  <si>
    <t>52399 Garrison Way</t>
  </si>
  <si>
    <t>Peoria</t>
  </si>
  <si>
    <t>45 Ludington Drive</t>
  </si>
  <si>
    <t>Columbia</t>
  </si>
  <si>
    <t>0651 Fordem Hill</t>
  </si>
  <si>
    <t>Young America</t>
  </si>
  <si>
    <t>662 Carpenter Hill</t>
  </si>
  <si>
    <t>Hartford</t>
  </si>
  <si>
    <t>9 Waubesa Way</t>
  </si>
  <si>
    <t>Pensacola</t>
  </si>
  <si>
    <t>4625 Del Sol Point</t>
  </si>
  <si>
    <t>Lees Summit</t>
  </si>
  <si>
    <t>69572 Bay Court</t>
  </si>
  <si>
    <t>Arlington</t>
  </si>
  <si>
    <t>77373 Moland Plaza</t>
  </si>
  <si>
    <t>Waco</t>
  </si>
  <si>
    <t>65816 Bonner Crossing</t>
  </si>
  <si>
    <t>Terre Haute</t>
  </si>
  <si>
    <t>5588 Express Road</t>
  </si>
  <si>
    <t>Seattle</t>
  </si>
  <si>
    <t>7 Scoville Lane</t>
  </si>
  <si>
    <t>Racine</t>
  </si>
  <si>
    <t>3011 Crowley Pass</t>
  </si>
  <si>
    <t>Orlando</t>
  </si>
  <si>
    <t>87 Hagan Street</t>
  </si>
  <si>
    <t>Amarillo</t>
  </si>
  <si>
    <t>68 Artisan Way</t>
  </si>
  <si>
    <t>Chicago</t>
  </si>
  <si>
    <t>1199 Drewry Hill</t>
  </si>
  <si>
    <t>Cleveland</t>
  </si>
  <si>
    <t>0 Golf Course Parkway</t>
  </si>
  <si>
    <t>Dallas</t>
  </si>
  <si>
    <t>65 Forest Pass</t>
  </si>
  <si>
    <t>75 Riverside Place</t>
  </si>
  <si>
    <t>Tyler</t>
  </si>
  <si>
    <t>995 Basil Terrace</t>
  </si>
  <si>
    <t>Baltimore</t>
  </si>
  <si>
    <t>893 Lakewood Plaza</t>
  </si>
  <si>
    <t>7871 Kinsman Drive</t>
  </si>
  <si>
    <t>Las Vegas</t>
  </si>
  <si>
    <t>677 Southridge Crossing</t>
  </si>
  <si>
    <t>Olympia</t>
  </si>
  <si>
    <t>38346 Sunnyside Terrace</t>
  </si>
  <si>
    <t>9586 Forest Trail</t>
  </si>
  <si>
    <t>Macon</t>
  </si>
  <si>
    <t>1 Lerdahl Circle</t>
  </si>
  <si>
    <t>Santa Barbara</t>
  </si>
  <si>
    <t>7856 Forest Park</t>
  </si>
  <si>
    <t>Montgomery</t>
  </si>
  <si>
    <t>2 Mallory Trail</t>
  </si>
  <si>
    <t>84289 Lotheville Drive</t>
  </si>
  <si>
    <t>2 Anderson Avenue</t>
  </si>
  <si>
    <t>New York City</t>
  </si>
  <si>
    <t>973 Mallory Road</t>
  </si>
  <si>
    <t>San Antonio</t>
  </si>
  <si>
    <t>9 Gale Trail</t>
  </si>
  <si>
    <t>Trenton</t>
  </si>
  <si>
    <t>8 Cascade Avenue</t>
  </si>
  <si>
    <t>Reno</t>
  </si>
  <si>
    <t>87233 Troy Avenue</t>
  </si>
  <si>
    <t>Atlanta</t>
  </si>
  <si>
    <t>6 Hovde Lane</t>
  </si>
  <si>
    <t>41625 Erie Court</t>
  </si>
  <si>
    <t>78 Declaration Trail</t>
  </si>
  <si>
    <t>745 Portage Parkway</t>
  </si>
  <si>
    <t>Spokane</t>
  </si>
  <si>
    <t>46504 Dayton Trail</t>
  </si>
  <si>
    <t>8620 Lindbergh Alley</t>
  </si>
  <si>
    <t>Albuquerque</t>
  </si>
  <si>
    <t>592 Fisk Junction</t>
  </si>
  <si>
    <t>Springfield</t>
  </si>
  <si>
    <t>2 2nd Lane</t>
  </si>
  <si>
    <t>96467 Lake View Junction</t>
  </si>
  <si>
    <t>Fort Worth</t>
  </si>
  <si>
    <t>45 Sommers Point</t>
  </si>
  <si>
    <t>4529 Hayes Road</t>
  </si>
  <si>
    <t>Greensboro</t>
  </si>
  <si>
    <t>3 Hoard Plaza</t>
  </si>
  <si>
    <t>Cincinnati</t>
  </si>
  <si>
    <t>4185 Grasskamp Pass</t>
  </si>
  <si>
    <t>1347 Pierstorff Place</t>
  </si>
  <si>
    <t>Houston</t>
  </si>
  <si>
    <t>9759 Charing Cross Pass</t>
  </si>
  <si>
    <t>Lubbock</t>
  </si>
  <si>
    <t>67 Basil Crossing</t>
  </si>
  <si>
    <t>Hayward</t>
  </si>
  <si>
    <t>1936 Arapahoe Pass</t>
  </si>
  <si>
    <t>0407 Eagle Crest Plaza</t>
  </si>
  <si>
    <t>Charleston</t>
  </si>
  <si>
    <t>88 Vahlen Road</t>
  </si>
  <si>
    <t>Fort Lauderdale</t>
  </si>
  <si>
    <t>609 Ludington Avenue</t>
  </si>
  <si>
    <t>Los Angeles</t>
  </si>
  <si>
    <t>6807 Dahle Park</t>
  </si>
  <si>
    <t>4990 North Park</t>
  </si>
  <si>
    <t>Beaumont</t>
  </si>
  <si>
    <t>1 Hoffman Plaza</t>
  </si>
  <si>
    <t>020 Sachtjen Crossing</t>
  </si>
  <si>
    <t>833 Dixon Parkway</t>
  </si>
  <si>
    <t>Wilmington</t>
  </si>
  <si>
    <t>3841 Vera Trail</t>
  </si>
  <si>
    <t>Shawnee Mission</t>
  </si>
  <si>
    <t>15072 Eliot Avenue</t>
  </si>
  <si>
    <t>Lynchburg</t>
  </si>
  <si>
    <t>1430 Kim Point</t>
  </si>
  <si>
    <t>2917 Bluestem Lane</t>
  </si>
  <si>
    <t>Huntington</t>
  </si>
  <si>
    <t>48912 Fieldstone Point</t>
  </si>
  <si>
    <t>Morgantown</t>
  </si>
  <si>
    <t>37 Forster Drive</t>
  </si>
  <si>
    <t>94 Lillian Hill</t>
  </si>
  <si>
    <t>6437 Farmco Street</t>
  </si>
  <si>
    <t>Boise</t>
  </si>
  <si>
    <t>63 Independence Pass</t>
  </si>
  <si>
    <t>Fairfield</t>
  </si>
  <si>
    <t>93226 Havey Hill</t>
  </si>
  <si>
    <t>Pasadena</t>
  </si>
  <si>
    <t>024 Mesta Trail</t>
  </si>
  <si>
    <t>West Palm Beach</t>
  </si>
  <si>
    <t>5428 Sutteridge Hill</t>
  </si>
  <si>
    <t>Topeka</t>
  </si>
  <si>
    <t>43858 Norway Maple Circle</t>
  </si>
  <si>
    <t>Raleigh</t>
  </si>
  <si>
    <t>372 Moland Parkway</t>
  </si>
  <si>
    <t>13140 Fisk Circle</t>
  </si>
  <si>
    <t>Mountain View</t>
  </si>
  <si>
    <t>8478 Old Gate Way</t>
  </si>
  <si>
    <t>60103 Doe Crossing Terrace</t>
  </si>
  <si>
    <t>0905 Warrior Crossing</t>
  </si>
  <si>
    <t>Sarasota</t>
  </si>
  <si>
    <t>564 Starling Plaza</t>
  </si>
  <si>
    <t>Colorado Springs</t>
  </si>
  <si>
    <t>882 Kedzie Court</t>
  </si>
  <si>
    <t>641 Sundown Lane</t>
  </si>
  <si>
    <t>008 Utah Road</t>
  </si>
  <si>
    <t>58734 South Avenue</t>
  </si>
  <si>
    <t>Greenville</t>
  </si>
  <si>
    <t>856 Prentice Way</t>
  </si>
  <si>
    <t>01083 Glendale Crossing</t>
  </si>
  <si>
    <t>South Lake Tahoe</t>
  </si>
  <si>
    <t>5590 Comanche Plaza</t>
  </si>
  <si>
    <t>502 Northland Plaza</t>
  </si>
  <si>
    <t>51 Miller Way</t>
  </si>
  <si>
    <t>0882 Arizona Way</t>
  </si>
  <si>
    <t>0 Dayton Way</t>
  </si>
  <si>
    <t>Fredericksburg</t>
  </si>
  <si>
    <t>95 Arrowood Street</t>
  </si>
  <si>
    <t>Detroit</t>
  </si>
  <si>
    <t>0313 Vermont Avenue</t>
  </si>
  <si>
    <t>870 Debra Way</t>
  </si>
  <si>
    <t>Torrance</t>
  </si>
  <si>
    <t>88 Sage Avenue</t>
  </si>
  <si>
    <t>Louisville</t>
  </si>
  <si>
    <t>77976 Homewood Plaza</t>
  </si>
  <si>
    <t>2 Barnett Pass</t>
  </si>
  <si>
    <t>Akron</t>
  </si>
  <si>
    <t>0827 Center Alley</t>
  </si>
  <si>
    <t>Gulfport</t>
  </si>
  <si>
    <t>48947 Elka Trail</t>
  </si>
  <si>
    <t>645 Erie Parkway</t>
  </si>
  <si>
    <t>30 Oak Way</t>
  </si>
  <si>
    <t>Boulder</t>
  </si>
  <si>
    <t>6887 Starling Road</t>
  </si>
  <si>
    <t>Brooklyn</t>
  </si>
  <si>
    <t>56 Pearson Crossing</t>
  </si>
  <si>
    <t>Kansas City</t>
  </si>
  <si>
    <t>3 Delaware Crossing</t>
  </si>
  <si>
    <t>Johnson City</t>
  </si>
  <si>
    <t>33 Barnett Pass</t>
  </si>
  <si>
    <t>65103 Clove Lane</t>
  </si>
  <si>
    <t>Schaumburg</t>
  </si>
  <si>
    <t>96 Butternut Crossing</t>
  </si>
  <si>
    <t>15 Jenna Place</t>
  </si>
  <si>
    <t>Berkeley</t>
  </si>
  <si>
    <t>03 American Alley</t>
  </si>
  <si>
    <t>Tulsa</t>
  </si>
  <si>
    <t>76 Warbler Lane</t>
  </si>
  <si>
    <t>79100 Lakeland Way</t>
  </si>
  <si>
    <t>Dearborn</t>
  </si>
  <si>
    <t>1921 Cody Circle</t>
  </si>
  <si>
    <t>New Castle</t>
  </si>
  <si>
    <t>18 Hermina Trail</t>
  </si>
  <si>
    <t>Denton</t>
  </si>
  <si>
    <t>6 Rigney Point</t>
  </si>
  <si>
    <t>07160 Atwood Road</t>
  </si>
  <si>
    <t>33 Buell Trail</t>
  </si>
  <si>
    <t>54 Corscot Lane</t>
  </si>
  <si>
    <t>76 Mandrake Alley</t>
  </si>
  <si>
    <t>Minneapolis</t>
  </si>
  <si>
    <t>8650 Maryland Circle</t>
  </si>
  <si>
    <t>Syracuse</t>
  </si>
  <si>
    <t>50 Clove Point</t>
  </si>
  <si>
    <t>Norwalk</t>
  </si>
  <si>
    <t>295 Columbus Street</t>
  </si>
  <si>
    <t>51 Nova Crossing</t>
  </si>
  <si>
    <t>3 Sage Alley</t>
  </si>
  <si>
    <t>San Bernardino</t>
  </si>
  <si>
    <t>9 Darwin Avenue</t>
  </si>
  <si>
    <t>46 Meadow Ridge Lane</t>
  </si>
  <si>
    <t>Rochester</t>
  </si>
  <si>
    <t>538 Pearson Hill</t>
  </si>
  <si>
    <t>Lafayette</t>
  </si>
  <si>
    <t>72 Grayhawk Point</t>
  </si>
  <si>
    <t>660 Moose Alley</t>
  </si>
  <si>
    <t>North Las Vegas</t>
  </si>
  <si>
    <t>845 Meadow Valley Parkway</t>
  </si>
  <si>
    <t>Irvine</t>
  </si>
  <si>
    <t>33754 West Court</t>
  </si>
  <si>
    <t>8 Westerfield Center</t>
  </si>
  <si>
    <t>Anaheim</t>
  </si>
  <si>
    <t>209 Algoma Place</t>
  </si>
  <si>
    <t>5 Pepper Wood Hill</t>
  </si>
  <si>
    <t>Sioux Falls</t>
  </si>
  <si>
    <t>8439 Marcy Place</t>
  </si>
  <si>
    <t>8101 Ridgeway Crossing</t>
  </si>
  <si>
    <t>5282 Gateway Hill</t>
  </si>
  <si>
    <t>Madison</t>
  </si>
  <si>
    <t>66761 Colorado Lane</t>
  </si>
  <si>
    <t>20 Elka Court</t>
  </si>
  <si>
    <t>High Point</t>
  </si>
  <si>
    <t>2 Chinook Terrace</t>
  </si>
  <si>
    <t>5 Marcy Terrace</t>
  </si>
  <si>
    <t>Falls Church</t>
  </si>
  <si>
    <t>2272 Merry Terrace</t>
  </si>
  <si>
    <t>3 Tennyson Lane</t>
  </si>
  <si>
    <t>New Bedford</t>
  </si>
  <si>
    <t>27644 Garrison Park</t>
  </si>
  <si>
    <t>5767 Fisk Court</t>
  </si>
  <si>
    <t>Cambridge</t>
  </si>
  <si>
    <t>26 Village Road</t>
  </si>
  <si>
    <t>14 Waywood Terrace</t>
  </si>
  <si>
    <t>Jacksonville</t>
  </si>
  <si>
    <t>52 Autumn Leaf Center</t>
  </si>
  <si>
    <t>Des Moines</t>
  </si>
  <si>
    <t>247 Corry Junction</t>
  </si>
  <si>
    <t>8 Main Circle</t>
  </si>
  <si>
    <t>5023 Helena Terrace</t>
  </si>
  <si>
    <t>37 Linden Park</t>
  </si>
  <si>
    <t>Charlotte</t>
  </si>
  <si>
    <t>1213 Bayside Point</t>
  </si>
  <si>
    <t>6 Quincy Terrace</t>
  </si>
  <si>
    <t>Saint Petersburg</t>
  </si>
  <si>
    <t>6025 Oak Valley Junction</t>
  </si>
  <si>
    <t>Oakland</t>
  </si>
  <si>
    <t>91768 Walton Road</t>
  </si>
  <si>
    <t>9 Bultman Park</t>
  </si>
  <si>
    <t>7 Butterfield Junction</t>
  </si>
  <si>
    <t>6 Merry Place</t>
  </si>
  <si>
    <t>3 Forest Place</t>
  </si>
  <si>
    <t>0 Forster Road</t>
  </si>
  <si>
    <t>Henderson</t>
  </si>
  <si>
    <t>44519 Northview Way</t>
  </si>
  <si>
    <t>Carson City</t>
  </si>
  <si>
    <t>6 Ohio Terrace</t>
  </si>
  <si>
    <t>8472 Susan Parkway</t>
  </si>
  <si>
    <t>130 Meadow Vale Way</t>
  </si>
  <si>
    <t>0 Bultman Alley</t>
  </si>
  <si>
    <t>396 Lakewood Gardens Center</t>
  </si>
  <si>
    <t>Toledo</t>
  </si>
  <si>
    <t>1 Ruskin Parkway</t>
  </si>
  <si>
    <t>Boston</t>
  </si>
  <si>
    <t>23 Ryan Place</t>
  </si>
  <si>
    <t>Pompano Beach</t>
  </si>
  <si>
    <t>95977 Lerdahl Terrace</t>
  </si>
  <si>
    <t>108 Merry Trail</t>
  </si>
  <si>
    <t>Clearwater</t>
  </si>
  <si>
    <t>0 Scofield Point</t>
  </si>
  <si>
    <t>7463 Roxbury Junction</t>
  </si>
  <si>
    <t>37159 Morning Drive</t>
  </si>
  <si>
    <t>9483 Hauk Plaza</t>
  </si>
  <si>
    <t>5068 Rieder Center</t>
  </si>
  <si>
    <t>Kent</t>
  </si>
  <si>
    <t>07918 Parkside Plaza</t>
  </si>
  <si>
    <t>Pittsburgh</t>
  </si>
  <si>
    <t>1 Nobel Trail</t>
  </si>
  <si>
    <t>3 Waywood Alley</t>
  </si>
  <si>
    <t>15532 Mitchell Way</t>
  </si>
  <si>
    <t>Buffalo</t>
  </si>
  <si>
    <t>8 Hallows Court</t>
  </si>
  <si>
    <t>2457 Weeping Birch Street</t>
  </si>
  <si>
    <t>Johnstown</t>
  </si>
  <si>
    <t>8969 Harbort Terrace</t>
  </si>
  <si>
    <t>501 Dennis Hill</t>
  </si>
  <si>
    <t>310 Iowa Crossing</t>
  </si>
  <si>
    <t>43 Waxwing Alley</t>
  </si>
  <si>
    <t>12 Dapin Alley</t>
  </si>
  <si>
    <t>Anniston</t>
  </si>
  <si>
    <t>13736 Daystar Road</t>
  </si>
  <si>
    <t>San Francisco</t>
  </si>
  <si>
    <t>11 Forest Run Junction</t>
  </si>
  <si>
    <t>5 Roxbury Place</t>
  </si>
  <si>
    <t>3055 Bartelt Lane</t>
  </si>
  <si>
    <t>91 Welch Center</t>
  </si>
  <si>
    <t>45 Fordem Lane</t>
  </si>
  <si>
    <t>55394 Jay Way</t>
  </si>
  <si>
    <t>567 Towne Plaza</t>
  </si>
  <si>
    <t>Saint Louis</t>
  </si>
  <si>
    <t>84179 Hoard Circle</t>
  </si>
  <si>
    <t>Grand Junction</t>
  </si>
  <si>
    <t>65 Del Mar Place</t>
  </si>
  <si>
    <t>67210 Mallory Trail</t>
  </si>
  <si>
    <t>4244 Beilfuss Circle</t>
  </si>
  <si>
    <t>841 School Way</t>
  </si>
  <si>
    <t>1024 Lakewood Street</t>
  </si>
  <si>
    <t>7246 Holy Cross Circle</t>
  </si>
  <si>
    <t>261 Pepper Wood Trail</t>
  </si>
  <si>
    <t>Sacramento</t>
  </si>
  <si>
    <t>302 Algoma Alley</t>
  </si>
  <si>
    <t>Sparks</t>
  </si>
  <si>
    <t>0 Lakeland Hill</t>
  </si>
  <si>
    <t>22711 Spohn Avenue</t>
  </si>
  <si>
    <t>Rockford</t>
  </si>
  <si>
    <t>88 Maple Pass</t>
  </si>
  <si>
    <t>95 Arizona Parkway</t>
  </si>
  <si>
    <t>772 Hollow Ridge Road</t>
  </si>
  <si>
    <t>9743 Sutherland Parkway</t>
  </si>
  <si>
    <t>3111 Veith Crossing</t>
  </si>
  <si>
    <t>2719 North Parkway</t>
  </si>
  <si>
    <t>Fort Wayne</t>
  </si>
  <si>
    <t>31 Sauthoff Place</t>
  </si>
  <si>
    <t>829 Northfield Road</t>
  </si>
  <si>
    <t>9685 Gale Center</t>
  </si>
  <si>
    <t>48372 Parkside Parkway</t>
  </si>
  <si>
    <t>00504 Ohio Center</t>
  </si>
  <si>
    <t>Hampton</t>
  </si>
  <si>
    <t>22603 Florence Crossing</t>
  </si>
  <si>
    <t>20328 Memorial Alley</t>
  </si>
  <si>
    <t>Bellevue</t>
  </si>
  <si>
    <t>431 Victoria Crossing</t>
  </si>
  <si>
    <t>882 Gina Road</t>
  </si>
  <si>
    <t>214 Lunder Crossing</t>
  </si>
  <si>
    <t>9929 Bellgrove Plaza</t>
  </si>
  <si>
    <t>Brockton</t>
  </si>
  <si>
    <t>1 Sloan Crossing</t>
  </si>
  <si>
    <t>76028 5th Parkway</t>
  </si>
  <si>
    <t>Staten Island</t>
  </si>
  <si>
    <t>7590 Gerald Plaza</t>
  </si>
  <si>
    <t>Lexington</t>
  </si>
  <si>
    <t>35 Onsgard Trail</t>
  </si>
  <si>
    <t>18045 Sommers Plaza</t>
  </si>
  <si>
    <t>0 Warrior Hill</t>
  </si>
  <si>
    <t>Orange</t>
  </si>
  <si>
    <t>2687 Shelley Crossing</t>
  </si>
  <si>
    <t>00010 7th Alley</t>
  </si>
  <si>
    <t>2 Ronald Regan Circle</t>
  </si>
  <si>
    <t>Tucson</t>
  </si>
  <si>
    <t>83 Washington Pass</t>
  </si>
  <si>
    <t>Mount Vernon</t>
  </si>
  <si>
    <t>098 Wayridge Terrace</t>
  </si>
  <si>
    <t>8 Blaine Hill</t>
  </si>
  <si>
    <t>3 Warbler Point</t>
  </si>
  <si>
    <t>757 Grasskamp Road</t>
  </si>
  <si>
    <t>3237 Sycamore Parkway</t>
  </si>
  <si>
    <t>8 Leroy Plaza</t>
  </si>
  <si>
    <t>Harrisburg</t>
  </si>
  <si>
    <t>79 Hoepker Circle</t>
  </si>
  <si>
    <t>Virginia Beach</t>
  </si>
  <si>
    <t>60 Quincy Trail</t>
  </si>
  <si>
    <t>138 Butterfield Drive</t>
  </si>
  <si>
    <t>5397 Macpherson Court</t>
  </si>
  <si>
    <t>178 Prentice Terrace</t>
  </si>
  <si>
    <t>6 Bay Point</t>
  </si>
  <si>
    <t>Bridgeport</t>
  </si>
  <si>
    <t>45081 Shoshone Road</t>
  </si>
  <si>
    <t>7439 Anderson Street</t>
  </si>
  <si>
    <t>45369 Stone Corner Park</t>
  </si>
  <si>
    <t>26155 Sachtjen Way</t>
  </si>
  <si>
    <t>London</t>
  </si>
  <si>
    <t>92368 Birchwood Point</t>
  </si>
  <si>
    <t>34518 Eliot Road</t>
  </si>
  <si>
    <t>Brooksville</t>
  </si>
  <si>
    <t>Alabama</t>
  </si>
  <si>
    <t>Louisiana</t>
  </si>
  <si>
    <t>Tennessee</t>
  </si>
  <si>
    <t>California</t>
  </si>
  <si>
    <t>Virginia</t>
  </si>
  <si>
    <t>Massachusetts</t>
  </si>
  <si>
    <t>Minnesota</t>
  </si>
  <si>
    <t>Pennsylvania</t>
  </si>
  <si>
    <t>Michigan</t>
  </si>
  <si>
    <t>Florida</t>
  </si>
  <si>
    <t>New York</t>
  </si>
  <si>
    <t>Kansas</t>
  </si>
  <si>
    <t>Arkansas</t>
  </si>
  <si>
    <t>Nebraska</t>
  </si>
  <si>
    <t>Oklahoma</t>
  </si>
  <si>
    <t>Illinois</t>
  </si>
  <si>
    <t>South Carolina</t>
  </si>
  <si>
    <t>Connecticut</t>
  </si>
  <si>
    <t>Missouri</t>
  </si>
  <si>
    <t>Indiana</t>
  </si>
  <si>
    <t>Wisconsin</t>
  </si>
  <si>
    <t>District of Columbia</t>
  </si>
  <si>
    <t>Nevada</t>
  </si>
  <si>
    <t>Georgia</t>
  </si>
  <si>
    <t>New Jersey</t>
  </si>
  <si>
    <t>New Mexico</t>
  </si>
  <si>
    <t>North Carolina</t>
  </si>
  <si>
    <t>West Virginia</t>
  </si>
  <si>
    <t>Idaho</t>
  </si>
  <si>
    <t>Mississippi</t>
  </si>
  <si>
    <t>Kentucky</t>
  </si>
  <si>
    <t>South Dakota</t>
  </si>
  <si>
    <t>35810</t>
  </si>
  <si>
    <t>45020</t>
  </si>
  <si>
    <t>71307</t>
  </si>
  <si>
    <t>38143</t>
  </si>
  <si>
    <t>37250</t>
  </si>
  <si>
    <t>93773</t>
  </si>
  <si>
    <t>24029</t>
  </si>
  <si>
    <t>71105</t>
  </si>
  <si>
    <t>02458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</si>
  <si>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</si>
  <si>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</si>
  <si>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</si>
  <si>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</si>
  <si>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</si>
  <si>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</si>
  <si>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</si>
  <si>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</si>
  <si>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</si>
  <si>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</si>
  <si>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</si>
  <si>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</si>
  <si>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</si>
  <si>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</si>
  <si>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</si>
  <si>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</si>
  <si>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</si>
  <si>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</si>
  <si>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</si>
  <si>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</si>
  <si>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</si>
  <si>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</si>
  <si>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</si>
  <si>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</si>
  <si>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</si>
  <si>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</si>
  <si>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</si>
  <si>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</si>
  <si>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</si>
  <si>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</si>
  <si>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</si>
  <si>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</si>
  <si>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</si>
  <si>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</si>
  <si>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</si>
  <si>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</si>
  <si>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</si>
  <si>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</si>
  <si>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</si>
  <si>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</si>
  <si>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</si>
  <si>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</si>
  <si>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</si>
  <si>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</si>
  <si>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</si>
  <si>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</si>
  <si>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</si>
  <si>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</si>
  <si>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</si>
  <si>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</si>
  <si>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10115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</si>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</sst>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8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0" fontId="0" fillId="0" borderId="0" xfId="0" quotePrefix="1"/>
    <xf numFmtId="49" fontId="0" fillId="0" borderId="0" xfId="0" applyNumberFormat="1"/>
    <xf numFmtId="0" fontId="18" fillId="0" borderId="0" xfId="43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kpetleya3@edublogs.org" TargetMode="External"/><Relationship Id="rId1" Type="http://schemas.openxmlformats.org/officeDocument/2006/relationships/hyperlink" Target="mailto:noliffe2j@paginegialle.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Q1" zoomScale="145" zoomScaleNormal="145" workbookViewId="0">
      <selection activeCell="Z2" sqref="Z2:AA23"/>
    </sheetView>
  </sheetViews>
  <sheetFormatPr defaultRowHeight="15" x14ac:dyDescent="0.25"/>
  <cols>
    <col min="1" max="1" width="4" bestFit="1" customWidth="1"/>
    <col min="2" max="2" width="24.7109375" bestFit="1" customWidth="1"/>
    <col min="3" max="3" width="12.28515625" bestFit="1" customWidth="1"/>
    <col min="4" max="4" width="15.5703125" bestFit="1" customWidth="1"/>
    <col min="5" max="6" width="15.5703125" customWidth="1"/>
    <col min="7" max="7" width="54.5703125" bestFit="1" customWidth="1"/>
    <col min="8" max="8" width="28.140625" bestFit="1" customWidth="1"/>
    <col min="9" max="9" width="16.5703125" bestFit="1" customWidth="1"/>
    <col min="10" max="10" width="18.7109375" bestFit="1" customWidth="1"/>
    <col min="11" max="11" width="6.42578125" bestFit="1" customWidth="1"/>
    <col min="12" max="12" width="10.42578125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0.285156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1323</v>
      </c>
      <c r="C1" s="2" t="s">
        <v>1</v>
      </c>
      <c r="D1" s="2" t="s">
        <v>2</v>
      </c>
      <c r="E1" s="2" t="s">
        <v>1880</v>
      </c>
      <c r="F1" s="2" t="s">
        <v>2160</v>
      </c>
      <c r="G1" s="2" t="s">
        <v>3</v>
      </c>
      <c r="H1" s="2" t="s">
        <v>1043</v>
      </c>
      <c r="I1" s="2" t="s">
        <v>4</v>
      </c>
      <c r="J1" s="2" t="s">
        <v>5</v>
      </c>
      <c r="K1" s="2" t="s">
        <v>6</v>
      </c>
      <c r="L1" s="2" t="s">
        <v>1322</v>
      </c>
      <c r="M1" s="2" t="s">
        <v>7</v>
      </c>
      <c r="N1" s="2" t="s">
        <v>2159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578</v>
      </c>
      <c r="W1" s="2" t="s">
        <v>1042</v>
      </c>
      <c r="X1" s="2" t="s">
        <v>1041</v>
      </c>
      <c r="Y1" s="2" t="s">
        <v>1040</v>
      </c>
      <c r="Z1" s="2" t="s">
        <v>11</v>
      </c>
    </row>
    <row r="2" spans="1:26" x14ac:dyDescent="0.25">
      <c r="A2">
        <v>48</v>
      </c>
      <c r="B2" t="s">
        <v>1602</v>
      </c>
      <c r="C2" t="s">
        <v>2439</v>
      </c>
      <c r="D2" t="s">
        <v>2161</v>
      </c>
      <c r="E2" t="s">
        <v>1881</v>
      </c>
      <c r="F2" t="s">
        <v>2714</v>
      </c>
      <c r="G2" t="s">
        <v>1044</v>
      </c>
      <c r="H2" t="s">
        <v>3005</v>
      </c>
      <c r="I2" t="s">
        <v>3006</v>
      </c>
      <c r="J2" t="s">
        <v>3436</v>
      </c>
      <c r="K2" s="6" t="s">
        <v>3468</v>
      </c>
      <c r="L2" s="5" t="s">
        <v>3468</v>
      </c>
      <c r="M2" t="s">
        <v>1324</v>
      </c>
      <c r="N2" t="s">
        <v>1324</v>
      </c>
      <c r="O2" t="s">
        <v>19</v>
      </c>
      <c r="P2" t="s">
        <v>97</v>
      </c>
      <c r="Q2" t="s">
        <v>98</v>
      </c>
      <c r="R2" t="s">
        <v>99</v>
      </c>
      <c r="S2" s="4">
        <v>201837065985956</v>
      </c>
      <c r="T2" t="s">
        <v>28</v>
      </c>
      <c r="U2" s="1">
        <v>8873.94</v>
      </c>
      <c r="V2" s="1" t="s">
        <v>660</v>
      </c>
      <c r="W2" s="1" t="s">
        <v>1032</v>
      </c>
      <c r="X2" t="str">
        <f>IF(V2="","",VLOOKUP(V2,WMI!A:C,2,FALSE))</f>
        <v>Germany</v>
      </c>
      <c r="Y2" t="str">
        <f>IF(V2="","",VLOOKUP(V2,WMI!A:C,3,FALSE))</f>
        <v>Audi</v>
      </c>
      <c r="Z2">
        <f>IF(W2="","",VLOOKUP(W2,year!A:B,2,FALSE))</f>
        <v>2010</v>
      </c>
    </row>
    <row r="3" spans="1:26" x14ac:dyDescent="0.25">
      <c r="A3">
        <v>91</v>
      </c>
      <c r="B3" t="s">
        <v>1603</v>
      </c>
      <c r="C3" t="s">
        <v>2440</v>
      </c>
      <c r="D3" t="s">
        <v>2162</v>
      </c>
      <c r="E3" t="s">
        <v>1882</v>
      </c>
      <c r="F3" t="s">
        <v>2715</v>
      </c>
      <c r="G3" t="s">
        <v>1045</v>
      </c>
      <c r="H3" t="s">
        <v>3007</v>
      </c>
      <c r="I3" t="s">
        <v>3008</v>
      </c>
      <c r="J3" t="s">
        <v>3002</v>
      </c>
      <c r="K3" s="6" t="s">
        <v>3469</v>
      </c>
      <c r="L3" s="5" t="s">
        <v>3469</v>
      </c>
      <c r="M3" t="s">
        <v>1325</v>
      </c>
      <c r="N3" t="s">
        <v>1325</v>
      </c>
      <c r="O3" t="s">
        <v>16</v>
      </c>
      <c r="P3" t="s">
        <v>59</v>
      </c>
      <c r="Q3" t="s">
        <v>128</v>
      </c>
      <c r="R3" t="s">
        <v>129</v>
      </c>
      <c r="S3" s="4">
        <v>3583504684725100</v>
      </c>
      <c r="T3" t="s">
        <v>18</v>
      </c>
      <c r="U3" s="1">
        <v>7075.47</v>
      </c>
      <c r="V3" s="1" t="s">
        <v>660</v>
      </c>
      <c r="W3" s="1" t="s">
        <v>1032</v>
      </c>
      <c r="X3" t="str">
        <f>IF(V3="","",VLOOKUP(V3,WMI!A:C,2,FALSE))</f>
        <v>Germany</v>
      </c>
      <c r="Y3" t="str">
        <f>IF(V3="","",VLOOKUP(V3,WMI!A:C,3,FALSE))</f>
        <v>Audi</v>
      </c>
      <c r="Z3">
        <f>IF(W3="","",VLOOKUP(W3,year!A:B,2,FALSE))</f>
        <v>2010</v>
      </c>
    </row>
    <row r="4" spans="1:26" x14ac:dyDescent="0.25">
      <c r="A4">
        <v>92</v>
      </c>
      <c r="B4" t="s">
        <v>1604</v>
      </c>
      <c r="C4" t="s">
        <v>2441</v>
      </c>
      <c r="D4" t="s">
        <v>2163</v>
      </c>
      <c r="E4" t="s">
        <v>1883</v>
      </c>
      <c r="F4" t="s">
        <v>2716</v>
      </c>
      <c r="G4" t="s">
        <v>1046</v>
      </c>
      <c r="H4" t="s">
        <v>3009</v>
      </c>
      <c r="I4" t="s">
        <v>3010</v>
      </c>
      <c r="J4" t="s">
        <v>3437</v>
      </c>
      <c r="K4" s="6" t="s">
        <v>3470</v>
      </c>
      <c r="L4" s="5" t="s">
        <v>3470</v>
      </c>
      <c r="M4" t="s">
        <v>1326</v>
      </c>
      <c r="N4" s="7" t="s">
        <v>1326</v>
      </c>
      <c r="O4" t="s">
        <v>16</v>
      </c>
      <c r="P4" t="s">
        <v>79</v>
      </c>
      <c r="Q4" t="s">
        <v>130</v>
      </c>
      <c r="R4" t="s">
        <v>131</v>
      </c>
      <c r="S4" s="4">
        <v>30406278354843</v>
      </c>
      <c r="T4" t="s">
        <v>46</v>
      </c>
      <c r="U4" s="1">
        <v>8664.16</v>
      </c>
      <c r="V4" s="1" t="s">
        <v>660</v>
      </c>
      <c r="W4" s="1" t="s">
        <v>1032</v>
      </c>
      <c r="X4" t="str">
        <f>IF(V4="","",VLOOKUP(V4,WMI!A:C,2,FALSE))</f>
        <v>Germany</v>
      </c>
      <c r="Y4" t="str">
        <f>IF(V4="","",VLOOKUP(V4,WMI!A:C,3,FALSE))</f>
        <v>Audi</v>
      </c>
      <c r="Z4">
        <f>IF(W4="","",VLOOKUP(W4,year!A:B,2,FALSE))</f>
        <v>2010</v>
      </c>
    </row>
    <row r="5" spans="1:26" x14ac:dyDescent="0.25">
      <c r="A5">
        <v>195</v>
      </c>
      <c r="B5" t="s">
        <v>1605</v>
      </c>
      <c r="C5" t="s">
        <v>2442</v>
      </c>
      <c r="D5" t="s">
        <v>2164</v>
      </c>
      <c r="E5" t="s">
        <v>1884</v>
      </c>
      <c r="F5" t="s">
        <v>2717</v>
      </c>
      <c r="G5" t="s">
        <v>1047</v>
      </c>
      <c r="H5" t="s">
        <v>3011</v>
      </c>
      <c r="I5" t="s">
        <v>3012</v>
      </c>
      <c r="J5" t="s">
        <v>3438</v>
      </c>
      <c r="K5" s="6" t="s">
        <v>3471</v>
      </c>
      <c r="L5" s="5" t="s">
        <v>3471</v>
      </c>
      <c r="M5" t="s">
        <v>1327</v>
      </c>
      <c r="N5" t="s">
        <v>1327</v>
      </c>
      <c r="O5" t="s">
        <v>16</v>
      </c>
      <c r="P5" t="s">
        <v>51</v>
      </c>
      <c r="Q5" t="s">
        <v>52</v>
      </c>
      <c r="R5" t="s">
        <v>210</v>
      </c>
      <c r="S5" s="4">
        <v>6.77123287458368E+16</v>
      </c>
      <c r="T5" t="s">
        <v>41</v>
      </c>
      <c r="U5" s="1">
        <v>9783.6200000000008</v>
      </c>
      <c r="V5" s="1" t="s">
        <v>660</v>
      </c>
      <c r="W5" s="1" t="s">
        <v>1032</v>
      </c>
      <c r="X5" t="str">
        <f>IF(V5="","",VLOOKUP(V5,WMI!A:C,2,FALSE))</f>
        <v>Germany</v>
      </c>
      <c r="Y5" t="str">
        <f>IF(V5="","",VLOOKUP(V5,WMI!A:C,3,FALSE))</f>
        <v>Audi</v>
      </c>
      <c r="Z5">
        <f>IF(W5="","",VLOOKUP(W5,year!A:B,2,FALSE))</f>
        <v>2010</v>
      </c>
    </row>
    <row r="6" spans="1:26" x14ac:dyDescent="0.25">
      <c r="A6">
        <v>364</v>
      </c>
      <c r="B6" t="s">
        <v>1606</v>
      </c>
      <c r="C6" t="s">
        <v>2443</v>
      </c>
      <c r="D6" t="s">
        <v>2165</v>
      </c>
      <c r="E6" t="s">
        <v>1885</v>
      </c>
      <c r="F6" t="s">
        <v>2718</v>
      </c>
      <c r="G6" t="s">
        <v>1048</v>
      </c>
      <c r="H6" t="s">
        <v>3013</v>
      </c>
      <c r="I6" t="s">
        <v>3014</v>
      </c>
      <c r="J6" t="s">
        <v>3438</v>
      </c>
      <c r="K6" s="6" t="s">
        <v>3472</v>
      </c>
      <c r="L6" s="5" t="s">
        <v>3472</v>
      </c>
      <c r="M6" t="s">
        <v>1328</v>
      </c>
      <c r="N6" s="7" t="s">
        <v>1328</v>
      </c>
      <c r="O6" t="s">
        <v>19</v>
      </c>
      <c r="P6" t="s">
        <v>31</v>
      </c>
      <c r="Q6" t="s">
        <v>307</v>
      </c>
      <c r="R6" t="s">
        <v>308</v>
      </c>
      <c r="S6" s="4">
        <v>3574041192261740</v>
      </c>
      <c r="T6" t="s">
        <v>18</v>
      </c>
      <c r="U6" s="1">
        <v>9394.68</v>
      </c>
      <c r="V6" s="1" t="s">
        <v>660</v>
      </c>
      <c r="W6" s="1" t="s">
        <v>1032</v>
      </c>
      <c r="X6" t="str">
        <f>IF(V6="","",VLOOKUP(V6,WMI!A:C,2,FALSE))</f>
        <v>Germany</v>
      </c>
      <c r="Y6" t="str">
        <f>IF(V6="","",VLOOKUP(V6,WMI!A:C,3,FALSE))</f>
        <v>Audi</v>
      </c>
      <c r="Z6">
        <f>IF(W6="","",VLOOKUP(W6,year!A:B,2,FALSE))</f>
        <v>2010</v>
      </c>
    </row>
    <row r="7" spans="1:26" x14ac:dyDescent="0.25">
      <c r="A7">
        <v>406</v>
      </c>
      <c r="B7" t="s">
        <v>1607</v>
      </c>
      <c r="C7" t="s">
        <v>2444</v>
      </c>
      <c r="D7" t="s">
        <v>2166</v>
      </c>
      <c r="E7" t="s">
        <v>1886</v>
      </c>
      <c r="F7" t="s">
        <v>2719</v>
      </c>
      <c r="G7" t="s">
        <v>1049</v>
      </c>
      <c r="H7" t="s">
        <v>3015</v>
      </c>
      <c r="I7" t="s">
        <v>3016</v>
      </c>
      <c r="J7" t="s">
        <v>3439</v>
      </c>
      <c r="K7" s="6" t="s">
        <v>3473</v>
      </c>
      <c r="L7" s="5" t="s">
        <v>3473</v>
      </c>
      <c r="M7" t="s">
        <v>1329</v>
      </c>
      <c r="N7" t="s">
        <v>1329</v>
      </c>
      <c r="O7" t="s">
        <v>16</v>
      </c>
      <c r="P7" t="s">
        <v>68</v>
      </c>
      <c r="Q7" t="s">
        <v>329</v>
      </c>
      <c r="R7" t="s">
        <v>330</v>
      </c>
      <c r="S7" s="4">
        <v>374288278189856</v>
      </c>
      <c r="T7" t="s">
        <v>48</v>
      </c>
      <c r="U7" s="1">
        <v>8657.42</v>
      </c>
      <c r="V7" s="1" t="s">
        <v>660</v>
      </c>
      <c r="W7" s="1" t="s">
        <v>1032</v>
      </c>
      <c r="X7" t="str">
        <f>IF(V7="","",VLOOKUP(V7,WMI!A:C,2,FALSE))</f>
        <v>Germany</v>
      </c>
      <c r="Y7" t="str">
        <f>IF(V7="","",VLOOKUP(V7,WMI!A:C,3,FALSE))</f>
        <v>Audi</v>
      </c>
      <c r="Z7">
        <f>IF(W7="","",VLOOKUP(W7,year!A:B,2,FALSE))</f>
        <v>2010</v>
      </c>
    </row>
    <row r="8" spans="1:26" x14ac:dyDescent="0.25">
      <c r="A8">
        <v>505</v>
      </c>
      <c r="B8" t="s">
        <v>1608</v>
      </c>
      <c r="C8" t="s">
        <v>2445</v>
      </c>
      <c r="D8" t="s">
        <v>2167</v>
      </c>
      <c r="E8" t="s">
        <v>1887</v>
      </c>
      <c r="F8" t="s">
        <v>2720</v>
      </c>
      <c r="G8" t="s">
        <v>1050</v>
      </c>
      <c r="H8" t="s">
        <v>3017</v>
      </c>
      <c r="I8" t="s">
        <v>3018</v>
      </c>
      <c r="J8" t="s">
        <v>3440</v>
      </c>
      <c r="K8" s="6" t="s">
        <v>3474</v>
      </c>
      <c r="L8" s="5" t="s">
        <v>3474</v>
      </c>
      <c r="M8" t="s">
        <v>1330</v>
      </c>
      <c r="N8" t="s">
        <v>1330</v>
      </c>
      <c r="O8" t="s">
        <v>16</v>
      </c>
      <c r="P8" t="s">
        <v>133</v>
      </c>
      <c r="Q8" t="s">
        <v>372</v>
      </c>
      <c r="R8" t="s">
        <v>373</v>
      </c>
      <c r="S8" s="4">
        <v>4.9118938190940303E+18</v>
      </c>
      <c r="T8" t="s">
        <v>29</v>
      </c>
      <c r="U8" s="1">
        <v>5164.7</v>
      </c>
      <c r="V8" s="1" t="s">
        <v>660</v>
      </c>
      <c r="W8" s="1" t="s">
        <v>1032</v>
      </c>
      <c r="X8" t="str">
        <f>IF(V8="","",VLOOKUP(V8,WMI!A:C,2,FALSE))</f>
        <v>Germany</v>
      </c>
      <c r="Y8" t="str">
        <f>IF(V8="","",VLOOKUP(V8,WMI!A:C,3,FALSE))</f>
        <v>Audi</v>
      </c>
      <c r="Z8">
        <f>IF(W8="","",VLOOKUP(W8,year!A:B,2,FALSE))</f>
        <v>2010</v>
      </c>
    </row>
    <row r="9" spans="1:26" x14ac:dyDescent="0.25">
      <c r="A9">
        <v>663</v>
      </c>
      <c r="B9" t="s">
        <v>1609</v>
      </c>
      <c r="C9" t="s">
        <v>2446</v>
      </c>
      <c r="D9" t="s">
        <v>2168</v>
      </c>
      <c r="E9" t="s">
        <v>1888</v>
      </c>
      <c r="F9" t="s">
        <v>2721</v>
      </c>
      <c r="G9" t="s">
        <v>1051</v>
      </c>
      <c r="H9" t="s">
        <v>3019</v>
      </c>
      <c r="I9" t="s">
        <v>3020</v>
      </c>
      <c r="J9" t="s">
        <v>3437</v>
      </c>
      <c r="K9" s="6" t="s">
        <v>3475</v>
      </c>
      <c r="L9" s="5" t="s">
        <v>3475</v>
      </c>
      <c r="M9" t="s">
        <v>1331</v>
      </c>
      <c r="N9" t="s">
        <v>1331</v>
      </c>
      <c r="O9" t="s">
        <v>19</v>
      </c>
      <c r="P9" t="s">
        <v>39</v>
      </c>
      <c r="Q9" t="s">
        <v>441</v>
      </c>
      <c r="R9" t="s">
        <v>442</v>
      </c>
      <c r="S9" s="4">
        <v>201551644586330</v>
      </c>
      <c r="T9" t="s">
        <v>28</v>
      </c>
      <c r="U9" s="1">
        <v>6192.57</v>
      </c>
      <c r="V9" s="1" t="s">
        <v>660</v>
      </c>
      <c r="W9" s="1" t="s">
        <v>1032</v>
      </c>
      <c r="X9" t="str">
        <f>IF(V9="","",VLOOKUP(V9,WMI!A:C,2,FALSE))</f>
        <v>Germany</v>
      </c>
      <c r="Y9" t="str">
        <f>IF(V9="","",VLOOKUP(V9,WMI!A:C,3,FALSE))</f>
        <v>Audi</v>
      </c>
      <c r="Z9">
        <f>IF(W9="","",VLOOKUP(W9,year!A:B,2,FALSE))</f>
        <v>2010</v>
      </c>
    </row>
    <row r="10" spans="1:26" x14ac:dyDescent="0.25">
      <c r="A10">
        <v>903</v>
      </c>
      <c r="B10" t="s">
        <v>1610</v>
      </c>
      <c r="C10" t="s">
        <v>2447</v>
      </c>
      <c r="D10" t="s">
        <v>2169</v>
      </c>
      <c r="E10" t="s">
        <v>1889</v>
      </c>
      <c r="F10" t="s">
        <v>2722</v>
      </c>
      <c r="G10" t="s">
        <v>1052</v>
      </c>
      <c r="H10" t="s">
        <v>3021</v>
      </c>
      <c r="I10" t="s">
        <v>3022</v>
      </c>
      <c r="J10" t="s">
        <v>3441</v>
      </c>
      <c r="K10" s="6" t="s">
        <v>3476</v>
      </c>
      <c r="L10" s="5" t="s">
        <v>3476</v>
      </c>
      <c r="M10" t="s">
        <v>1332</v>
      </c>
      <c r="N10" t="s">
        <v>1332</v>
      </c>
      <c r="O10" t="s">
        <v>16</v>
      </c>
      <c r="P10" t="s">
        <v>120</v>
      </c>
      <c r="Q10" t="s">
        <v>543</v>
      </c>
      <c r="R10" t="s">
        <v>544</v>
      </c>
      <c r="S10" s="4">
        <v>3555512193503080</v>
      </c>
      <c r="T10" t="s">
        <v>18</v>
      </c>
      <c r="U10" s="1">
        <v>6403.73</v>
      </c>
      <c r="V10" s="1" t="s">
        <v>660</v>
      </c>
      <c r="W10" s="1" t="s">
        <v>1032</v>
      </c>
      <c r="X10" t="str">
        <f>IF(V10="","",VLOOKUP(V10,WMI!A:C,2,FALSE))</f>
        <v>Germany</v>
      </c>
      <c r="Y10" t="str">
        <f>IF(V10="","",VLOOKUP(V10,WMI!A:C,3,FALSE))</f>
        <v>Audi</v>
      </c>
      <c r="Z10">
        <f>IF(W10="","",VLOOKUP(W10,year!A:B,2,FALSE))</f>
        <v>2010</v>
      </c>
    </row>
    <row r="11" spans="1:26" x14ac:dyDescent="0.25">
      <c r="A11">
        <v>908</v>
      </c>
      <c r="B11" t="s">
        <v>1611</v>
      </c>
      <c r="C11" t="s">
        <v>2448</v>
      </c>
      <c r="D11" t="s">
        <v>2170</v>
      </c>
      <c r="E11" t="s">
        <v>1890</v>
      </c>
      <c r="F11" t="s">
        <v>2723</v>
      </c>
      <c r="G11" t="s">
        <v>1053</v>
      </c>
      <c r="H11" t="s">
        <v>3023</v>
      </c>
      <c r="I11" t="s">
        <v>3024</v>
      </c>
      <c r="J11" t="s">
        <v>2999</v>
      </c>
      <c r="K11" s="6" t="s">
        <v>3477</v>
      </c>
      <c r="L11" s="5" t="s">
        <v>3477</v>
      </c>
      <c r="M11" t="s">
        <v>1333</v>
      </c>
      <c r="N11" t="s">
        <v>1333</v>
      </c>
      <c r="O11" t="s">
        <v>16</v>
      </c>
      <c r="P11" t="s">
        <v>183</v>
      </c>
      <c r="Q11" t="s">
        <v>192</v>
      </c>
      <c r="R11" t="s">
        <v>546</v>
      </c>
      <c r="S11" s="4">
        <v>3531569536462040</v>
      </c>
      <c r="T11" t="s">
        <v>18</v>
      </c>
      <c r="U11" s="1">
        <v>9986.2000000000007</v>
      </c>
      <c r="V11" s="1" t="s">
        <v>660</v>
      </c>
      <c r="W11" s="1" t="s">
        <v>1032</v>
      </c>
      <c r="X11" t="str">
        <f>IF(V11="","",VLOOKUP(V11,WMI!A:C,2,FALSE))</f>
        <v>Germany</v>
      </c>
      <c r="Y11" t="str">
        <f>IF(V11="","",VLOOKUP(V11,WMI!A:C,3,FALSE))</f>
        <v>Audi</v>
      </c>
      <c r="Z11">
        <f>IF(W11="","",VLOOKUP(W11,year!A:B,2,FALSE))</f>
        <v>2010</v>
      </c>
    </row>
    <row r="12" spans="1:26" x14ac:dyDescent="0.25">
      <c r="A12">
        <v>25</v>
      </c>
      <c r="B12" t="s">
        <v>1612</v>
      </c>
      <c r="C12" t="s">
        <v>2449</v>
      </c>
      <c r="D12" t="s">
        <v>2171</v>
      </c>
      <c r="E12" t="s">
        <v>1891</v>
      </c>
      <c r="F12" t="s">
        <v>2724</v>
      </c>
      <c r="G12" t="s">
        <v>1054</v>
      </c>
      <c r="H12" t="s">
        <v>3025</v>
      </c>
      <c r="I12" t="s">
        <v>3026</v>
      </c>
      <c r="J12" t="s">
        <v>3442</v>
      </c>
      <c r="K12" s="6" t="s">
        <v>3478</v>
      </c>
      <c r="L12" s="5" t="s">
        <v>3478</v>
      </c>
      <c r="M12" t="s">
        <v>1334</v>
      </c>
      <c r="N12" t="s">
        <v>1334</v>
      </c>
      <c r="O12" t="s">
        <v>16</v>
      </c>
      <c r="P12" t="s">
        <v>39</v>
      </c>
      <c r="Q12" t="s">
        <v>64</v>
      </c>
      <c r="R12" t="s">
        <v>65</v>
      </c>
      <c r="S12" s="4">
        <v>5.6103862055838496E+16</v>
      </c>
      <c r="T12" t="s">
        <v>34</v>
      </c>
      <c r="U12" s="1">
        <v>8031.4</v>
      </c>
      <c r="V12" s="1" t="s">
        <v>661</v>
      </c>
      <c r="W12" s="1" t="s">
        <v>1032</v>
      </c>
      <c r="X12" t="str">
        <f>IF(V12="","",VLOOKUP(V12,WMI!A:C,2,FALSE))</f>
        <v>Germany</v>
      </c>
      <c r="Y12" t="str">
        <f>IF(V12="","",VLOOKUP(V12,WMI!A:C,3,FALSE))</f>
        <v>BMW</v>
      </c>
      <c r="Z12">
        <f>IF(W12="","",VLOOKUP(W12,year!A:B,2,FALSE))</f>
        <v>2010</v>
      </c>
    </row>
    <row r="13" spans="1:26" x14ac:dyDescent="0.25">
      <c r="A13">
        <v>179</v>
      </c>
      <c r="B13" t="s">
        <v>1613</v>
      </c>
      <c r="C13" t="s">
        <v>2450</v>
      </c>
      <c r="D13" t="s">
        <v>2172</v>
      </c>
      <c r="E13" t="s">
        <v>1892</v>
      </c>
      <c r="F13" t="s">
        <v>2725</v>
      </c>
      <c r="G13" t="s">
        <v>1055</v>
      </c>
      <c r="H13" t="s">
        <v>3027</v>
      </c>
      <c r="I13" t="s">
        <v>3028</v>
      </c>
      <c r="J13" t="s">
        <v>3443</v>
      </c>
      <c r="K13" s="6" t="s">
        <v>3479</v>
      </c>
      <c r="L13" s="5" t="s">
        <v>3479</v>
      </c>
      <c r="M13" t="s">
        <v>1335</v>
      </c>
      <c r="N13" t="s">
        <v>1335</v>
      </c>
      <c r="O13" t="s">
        <v>19</v>
      </c>
      <c r="P13" t="s">
        <v>74</v>
      </c>
      <c r="Q13" t="s">
        <v>196</v>
      </c>
      <c r="R13" t="s">
        <v>197</v>
      </c>
      <c r="S13" s="4">
        <v>5610761538613470</v>
      </c>
      <c r="T13" t="s">
        <v>93</v>
      </c>
      <c r="U13" s="1">
        <v>9726.41</v>
      </c>
      <c r="V13" s="1" t="s">
        <v>661</v>
      </c>
      <c r="W13" s="1" t="s">
        <v>1032</v>
      </c>
      <c r="X13" t="str">
        <f>IF(V13="","",VLOOKUP(V13,WMI!A:C,2,FALSE))</f>
        <v>Germany</v>
      </c>
      <c r="Y13" t="str">
        <f>IF(V13="","",VLOOKUP(V13,WMI!A:C,3,FALSE))</f>
        <v>BMW</v>
      </c>
      <c r="Z13">
        <f>IF(W13="","",VLOOKUP(W13,year!A:B,2,FALSE))</f>
        <v>2010</v>
      </c>
    </row>
    <row r="14" spans="1:26" x14ac:dyDescent="0.25">
      <c r="A14">
        <v>824</v>
      </c>
      <c r="B14" t="s">
        <v>1614</v>
      </c>
      <c r="C14" t="s">
        <v>2451</v>
      </c>
      <c r="D14" t="s">
        <v>2173</v>
      </c>
      <c r="E14" t="s">
        <v>1893</v>
      </c>
      <c r="F14" t="s">
        <v>2726</v>
      </c>
      <c r="G14" t="s">
        <v>1056</v>
      </c>
      <c r="H14" t="s">
        <v>3029</v>
      </c>
      <c r="I14" t="s">
        <v>3030</v>
      </c>
      <c r="J14" t="s">
        <v>3444</v>
      </c>
      <c r="K14" s="6" t="s">
        <v>3480</v>
      </c>
      <c r="L14" s="5" t="s">
        <v>3480</v>
      </c>
      <c r="M14" t="s">
        <v>1336</v>
      </c>
      <c r="N14" t="s">
        <v>1336</v>
      </c>
      <c r="O14" t="s">
        <v>16</v>
      </c>
      <c r="P14" t="s">
        <v>208</v>
      </c>
      <c r="Q14" t="s">
        <v>270</v>
      </c>
      <c r="R14" t="s">
        <v>509</v>
      </c>
      <c r="S14" s="4">
        <v>4917873181982810</v>
      </c>
      <c r="T14" t="s">
        <v>26</v>
      </c>
      <c r="U14" s="1">
        <v>6855.94</v>
      </c>
      <c r="V14" s="1" t="s">
        <v>661</v>
      </c>
      <c r="W14" s="1" t="s">
        <v>1032</v>
      </c>
      <c r="X14" t="str">
        <f>IF(V14="","",VLOOKUP(V14,WMI!A:C,2,FALSE))</f>
        <v>Germany</v>
      </c>
      <c r="Y14" t="str">
        <f>IF(V14="","",VLOOKUP(V14,WMI!A:C,3,FALSE))</f>
        <v>BMW</v>
      </c>
      <c r="Z14">
        <f>IF(W14="","",VLOOKUP(W14,year!A:B,2,FALSE))</f>
        <v>2010</v>
      </c>
    </row>
    <row r="15" spans="1:26" x14ac:dyDescent="0.25">
      <c r="A15">
        <v>965</v>
      </c>
      <c r="B15" t="s">
        <v>1615</v>
      </c>
      <c r="C15" t="s">
        <v>2452</v>
      </c>
      <c r="D15" t="s">
        <v>2174</v>
      </c>
      <c r="E15" t="s">
        <v>1894</v>
      </c>
      <c r="F15" t="s">
        <v>2727</v>
      </c>
      <c r="G15" t="s">
        <v>1057</v>
      </c>
      <c r="H15" t="s">
        <v>3031</v>
      </c>
      <c r="I15" t="s">
        <v>3032</v>
      </c>
      <c r="J15" t="s">
        <v>3445</v>
      </c>
      <c r="K15" s="6" t="s">
        <v>3481</v>
      </c>
      <c r="L15" s="5" t="s">
        <v>3481</v>
      </c>
      <c r="M15" t="s">
        <v>1337</v>
      </c>
      <c r="N15" t="s">
        <v>1337</v>
      </c>
      <c r="O15" t="s">
        <v>19</v>
      </c>
      <c r="P15" t="s">
        <v>438</v>
      </c>
      <c r="Q15" t="s">
        <v>568</v>
      </c>
      <c r="R15" t="s">
        <v>569</v>
      </c>
      <c r="S15" s="4">
        <v>374622832349749</v>
      </c>
      <c r="T15" t="s">
        <v>48</v>
      </c>
      <c r="U15" s="1">
        <v>9114.49</v>
      </c>
      <c r="V15" s="1" t="s">
        <v>661</v>
      </c>
      <c r="W15" s="1" t="s">
        <v>1032</v>
      </c>
      <c r="X15" t="str">
        <f>IF(V15="","",VLOOKUP(V15,WMI!A:C,2,FALSE))</f>
        <v>Germany</v>
      </c>
      <c r="Y15" t="str">
        <f>IF(V15="","",VLOOKUP(V15,WMI!A:C,3,FALSE))</f>
        <v>BMW</v>
      </c>
      <c r="Z15">
        <f>IF(W15="","",VLOOKUP(W15,year!A:B,2,FALSE))</f>
        <v>2010</v>
      </c>
    </row>
    <row r="16" spans="1:26" x14ac:dyDescent="0.25">
      <c r="A16">
        <v>983</v>
      </c>
      <c r="B16" t="s">
        <v>1616</v>
      </c>
      <c r="C16" t="s">
        <v>2453</v>
      </c>
      <c r="D16" t="s">
        <v>2175</v>
      </c>
      <c r="E16" t="s">
        <v>1895</v>
      </c>
      <c r="F16" t="s">
        <v>2728</v>
      </c>
      <c r="G16" t="s">
        <v>1058</v>
      </c>
      <c r="H16" t="s">
        <v>3033</v>
      </c>
      <c r="I16" t="s">
        <v>3034</v>
      </c>
      <c r="J16" t="s">
        <v>3446</v>
      </c>
      <c r="K16" s="6" t="s">
        <v>3482</v>
      </c>
      <c r="L16" s="5" t="s">
        <v>3482</v>
      </c>
      <c r="M16" t="s">
        <v>1338</v>
      </c>
      <c r="N16" t="s">
        <v>1338</v>
      </c>
      <c r="O16" t="s">
        <v>19</v>
      </c>
      <c r="P16" t="s">
        <v>147</v>
      </c>
      <c r="Q16" t="s">
        <v>390</v>
      </c>
      <c r="R16" t="s">
        <v>573</v>
      </c>
      <c r="S16" s="4">
        <v>3583802162363100</v>
      </c>
      <c r="T16" t="s">
        <v>18</v>
      </c>
      <c r="U16" s="1">
        <v>8165.87</v>
      </c>
      <c r="V16" s="1" t="s">
        <v>661</v>
      </c>
      <c r="W16" s="1" t="s">
        <v>1032</v>
      </c>
      <c r="X16" t="str">
        <f>IF(V16="","",VLOOKUP(V16,WMI!A:C,2,FALSE))</f>
        <v>Germany</v>
      </c>
      <c r="Y16" t="str">
        <f>IF(V16="","",VLOOKUP(V16,WMI!A:C,3,FALSE))</f>
        <v>BMW</v>
      </c>
      <c r="Z16">
        <f>IF(W16="","",VLOOKUP(W16,year!A:B,2,FALSE))</f>
        <v>2010</v>
      </c>
    </row>
    <row r="17" spans="1:26" x14ac:dyDescent="0.25">
      <c r="A17">
        <v>224</v>
      </c>
      <c r="B17" t="s">
        <v>1617</v>
      </c>
      <c r="C17" t="s">
        <v>2454</v>
      </c>
      <c r="D17" t="s">
        <v>2176</v>
      </c>
      <c r="E17" t="s">
        <v>1896</v>
      </c>
      <c r="F17" t="s">
        <v>2729</v>
      </c>
      <c r="G17" t="s">
        <v>1059</v>
      </c>
      <c r="H17" t="s">
        <v>3035</v>
      </c>
      <c r="I17" t="s">
        <v>104</v>
      </c>
      <c r="J17" t="s">
        <v>2993</v>
      </c>
      <c r="K17" s="6" t="s">
        <v>3483</v>
      </c>
      <c r="L17" s="5" t="s">
        <v>3483</v>
      </c>
      <c r="M17" t="s">
        <v>1339</v>
      </c>
      <c r="N17" t="s">
        <v>1339</v>
      </c>
      <c r="O17" t="s">
        <v>16</v>
      </c>
      <c r="P17" t="s">
        <v>83</v>
      </c>
      <c r="Q17" t="s">
        <v>154</v>
      </c>
      <c r="R17" t="s">
        <v>230</v>
      </c>
      <c r="S17" s="4">
        <v>374283013744578</v>
      </c>
      <c r="T17" t="s">
        <v>48</v>
      </c>
      <c r="U17" s="1">
        <v>9716.83</v>
      </c>
      <c r="V17" s="1" t="s">
        <v>662</v>
      </c>
      <c r="W17" s="1" t="s">
        <v>1032</v>
      </c>
      <c r="X17" t="str">
        <f>IF(V17="","",VLOOKUP(V17,WMI!A:C,2,FALSE))</f>
        <v>Germany</v>
      </c>
      <c r="Y17" t="str">
        <f>IF(V17="","",VLOOKUP(V17,WMI!A:C,3,FALSE))</f>
        <v>BMW M</v>
      </c>
      <c r="Z17">
        <f>IF(W17="","",VLOOKUP(W17,year!A:B,2,FALSE))</f>
        <v>2010</v>
      </c>
    </row>
    <row r="18" spans="1:26" x14ac:dyDescent="0.25">
      <c r="A18">
        <v>768</v>
      </c>
      <c r="B18" t="s">
        <v>1618</v>
      </c>
      <c r="C18" t="s">
        <v>2455</v>
      </c>
      <c r="D18" t="s">
        <v>2177</v>
      </c>
      <c r="E18" t="s">
        <v>1897</v>
      </c>
      <c r="F18" t="s">
        <v>2730</v>
      </c>
      <c r="G18" t="s">
        <v>1060</v>
      </c>
      <c r="H18" t="s">
        <v>3036</v>
      </c>
      <c r="I18" t="s">
        <v>3037</v>
      </c>
      <c r="J18" t="s">
        <v>3438</v>
      </c>
      <c r="K18" s="6" t="s">
        <v>3484</v>
      </c>
      <c r="L18" s="5" t="s">
        <v>3484</v>
      </c>
      <c r="M18" t="s">
        <v>1340</v>
      </c>
      <c r="N18" t="s">
        <v>1340</v>
      </c>
      <c r="O18" t="s">
        <v>19</v>
      </c>
      <c r="P18" t="s">
        <v>49</v>
      </c>
      <c r="Q18" t="s">
        <v>236</v>
      </c>
      <c r="R18" t="s">
        <v>486</v>
      </c>
      <c r="S18" s="4">
        <v>6.7596218261742496E+16</v>
      </c>
      <c r="T18" t="s">
        <v>82</v>
      </c>
      <c r="U18" s="1">
        <v>6818.55</v>
      </c>
      <c r="V18" s="1" t="s">
        <v>666</v>
      </c>
      <c r="W18" s="1" t="s">
        <v>1032</v>
      </c>
      <c r="X18" t="str">
        <f>IF(V18="","",VLOOKUP(V18,WMI!A:C,2,FALSE))</f>
        <v>Germany</v>
      </c>
      <c r="Y18" t="str">
        <f>IF(V18="","",VLOOKUP(V18,WMI!A:C,3,FALSE))</f>
        <v>DaimlerChrysler AG/Daimler AG</v>
      </c>
      <c r="Z18">
        <f>IF(W18="","",VLOOKUP(W18,year!A:B,2,FALSE))</f>
        <v>2010</v>
      </c>
    </row>
    <row r="19" spans="1:26" x14ac:dyDescent="0.25">
      <c r="A19">
        <v>882</v>
      </c>
      <c r="B19" t="s">
        <v>1619</v>
      </c>
      <c r="C19" t="s">
        <v>2456</v>
      </c>
      <c r="D19" t="s">
        <v>2178</v>
      </c>
      <c r="E19" t="s">
        <v>1898</v>
      </c>
      <c r="F19" t="s">
        <v>2731</v>
      </c>
      <c r="G19" t="s">
        <v>1061</v>
      </c>
      <c r="H19" t="s">
        <v>3038</v>
      </c>
      <c r="I19" t="s">
        <v>3039</v>
      </c>
      <c r="J19" t="s">
        <v>3442</v>
      </c>
      <c r="K19" s="6" t="s">
        <v>3485</v>
      </c>
      <c r="L19" s="5" t="s">
        <v>3485</v>
      </c>
      <c r="M19" t="s">
        <v>1341</v>
      </c>
      <c r="N19" t="s">
        <v>1341</v>
      </c>
      <c r="O19" t="s">
        <v>19</v>
      </c>
      <c r="P19" t="s">
        <v>53</v>
      </c>
      <c r="Q19" t="s">
        <v>397</v>
      </c>
      <c r="R19" t="s">
        <v>532</v>
      </c>
      <c r="S19" s="4">
        <v>6331109006887140</v>
      </c>
      <c r="T19" t="s">
        <v>29</v>
      </c>
      <c r="U19" s="1">
        <v>7796.01</v>
      </c>
      <c r="V19" s="1" t="s">
        <v>666</v>
      </c>
      <c r="W19" s="1" t="s">
        <v>1032</v>
      </c>
      <c r="X19" t="str">
        <f>IF(V19="","",VLOOKUP(V19,WMI!A:C,2,FALSE))</f>
        <v>Germany</v>
      </c>
      <c r="Y19" t="str">
        <f>IF(V19="","",VLOOKUP(V19,WMI!A:C,3,FALSE))</f>
        <v>DaimlerChrysler AG/Daimler AG</v>
      </c>
      <c r="Z19">
        <f>IF(W19="","",VLOOKUP(W19,year!A:B,2,FALSE))</f>
        <v>2010</v>
      </c>
    </row>
    <row r="20" spans="1:26" x14ac:dyDescent="0.25">
      <c r="A20">
        <v>300</v>
      </c>
      <c r="B20" t="s">
        <v>1620</v>
      </c>
      <c r="C20" t="s">
        <v>2457</v>
      </c>
      <c r="D20" t="s">
        <v>2179</v>
      </c>
      <c r="E20" t="s">
        <v>1899</v>
      </c>
      <c r="F20" t="s">
        <v>2732</v>
      </c>
      <c r="G20" t="s">
        <v>1062</v>
      </c>
      <c r="H20" t="s">
        <v>3040</v>
      </c>
      <c r="I20" t="s">
        <v>3041</v>
      </c>
      <c r="J20" t="s">
        <v>3447</v>
      </c>
      <c r="K20" s="6" t="s">
        <v>3486</v>
      </c>
      <c r="L20" s="5" t="s">
        <v>3486</v>
      </c>
      <c r="M20" t="s">
        <v>1342</v>
      </c>
      <c r="N20" t="s">
        <v>1342</v>
      </c>
      <c r="O20" t="s">
        <v>16</v>
      </c>
      <c r="P20" t="s">
        <v>183</v>
      </c>
      <c r="Q20" t="s">
        <v>277</v>
      </c>
      <c r="R20" t="s">
        <v>278</v>
      </c>
      <c r="S20" s="4">
        <v>5.6022113205174303E+18</v>
      </c>
      <c r="T20" t="s">
        <v>34</v>
      </c>
      <c r="U20" s="1">
        <v>8350.5</v>
      </c>
      <c r="V20" s="1" t="s">
        <v>681</v>
      </c>
      <c r="W20" s="1" t="s">
        <v>1032</v>
      </c>
      <c r="X20" t="str">
        <f>IF(V20="","",VLOOKUP(V20,WMI!A:C,2,FALSE))</f>
        <v>Germany</v>
      </c>
      <c r="Y20" t="str">
        <f>IF(V20="","",VLOOKUP(V20,WMI!A:C,3,FALSE))</f>
        <v>Volkswagen</v>
      </c>
      <c r="Z20">
        <f>IF(W20="","",VLOOKUP(W20,year!A:B,2,FALSE))</f>
        <v>2010</v>
      </c>
    </row>
    <row r="21" spans="1:26" x14ac:dyDescent="0.25">
      <c r="A21">
        <v>776</v>
      </c>
      <c r="B21" t="s">
        <v>1621</v>
      </c>
      <c r="C21" t="s">
        <v>2458</v>
      </c>
      <c r="D21" t="s">
        <v>2180</v>
      </c>
      <c r="E21" t="s">
        <v>1900</v>
      </c>
      <c r="F21" t="s">
        <v>2733</v>
      </c>
      <c r="G21" t="s">
        <v>1063</v>
      </c>
      <c r="H21" t="s">
        <v>3042</v>
      </c>
      <c r="I21" t="s">
        <v>3043</v>
      </c>
      <c r="J21" t="s">
        <v>2994</v>
      </c>
      <c r="K21" s="6" t="s">
        <v>3487</v>
      </c>
      <c r="L21" s="5" t="s">
        <v>3487</v>
      </c>
      <c r="M21" t="s">
        <v>1343</v>
      </c>
      <c r="N21" t="s">
        <v>1343</v>
      </c>
      <c r="O21" t="s">
        <v>16</v>
      </c>
      <c r="P21" t="s">
        <v>66</v>
      </c>
      <c r="Q21" t="s">
        <v>67</v>
      </c>
      <c r="R21" t="s">
        <v>490</v>
      </c>
      <c r="S21" s="4">
        <v>3545657360678170</v>
      </c>
      <c r="T21" t="s">
        <v>18</v>
      </c>
      <c r="U21" s="1">
        <v>6071.53</v>
      </c>
      <c r="V21" s="1" t="s">
        <v>681</v>
      </c>
      <c r="W21" s="1" t="s">
        <v>1032</v>
      </c>
      <c r="X21" t="str">
        <f>IF(V21="","",VLOOKUP(V21,WMI!A:C,2,FALSE))</f>
        <v>Germany</v>
      </c>
      <c r="Y21" t="str">
        <f>IF(V21="","",VLOOKUP(V21,WMI!A:C,3,FALSE))</f>
        <v>Volkswagen</v>
      </c>
      <c r="Z21">
        <f>IF(W21="","",VLOOKUP(W21,year!A:B,2,FALSE))</f>
        <v>2010</v>
      </c>
    </row>
    <row r="22" spans="1:26" x14ac:dyDescent="0.25">
      <c r="A22">
        <v>93</v>
      </c>
      <c r="B22" t="s">
        <v>1622</v>
      </c>
      <c r="C22" t="s">
        <v>2459</v>
      </c>
      <c r="D22" t="s">
        <v>2181</v>
      </c>
      <c r="E22" t="s">
        <v>1901</v>
      </c>
      <c r="F22" t="s">
        <v>2734</v>
      </c>
      <c r="G22" t="s">
        <v>1064</v>
      </c>
      <c r="H22" t="s">
        <v>3044</v>
      </c>
      <c r="I22" t="s">
        <v>3045</v>
      </c>
      <c r="J22" t="s">
        <v>2993</v>
      </c>
      <c r="K22" s="6" t="s">
        <v>3488</v>
      </c>
      <c r="L22" s="5" t="s">
        <v>3488</v>
      </c>
      <c r="M22" t="s">
        <v>1344</v>
      </c>
      <c r="N22" t="s">
        <v>1344</v>
      </c>
      <c r="O22" t="s">
        <v>19</v>
      </c>
      <c r="P22" t="s">
        <v>66</v>
      </c>
      <c r="Q22">
        <v>88</v>
      </c>
      <c r="R22" t="s">
        <v>132</v>
      </c>
      <c r="S22" s="4">
        <v>3563299228932080</v>
      </c>
      <c r="T22" t="s">
        <v>18</v>
      </c>
      <c r="U22" s="1">
        <v>9100</v>
      </c>
      <c r="V22" s="1" t="s">
        <v>680</v>
      </c>
      <c r="W22" s="1" t="s">
        <v>1032</v>
      </c>
      <c r="X22" t="str">
        <f>IF(V22="","",VLOOKUP(V22,WMI!A:C,2,FALSE))</f>
        <v>Germany</v>
      </c>
      <c r="Y22" t="str">
        <f>IF(V22="","",VLOOKUP(V22,WMI!A:C,3,FALSE))</f>
        <v>Volkswagen</v>
      </c>
      <c r="Z22">
        <f>IF(W22="","",VLOOKUP(W22,year!A:B,2,FALSE))</f>
        <v>2010</v>
      </c>
    </row>
    <row r="23" spans="1:26" x14ac:dyDescent="0.25">
      <c r="A23">
        <v>130</v>
      </c>
      <c r="B23" t="s">
        <v>1623</v>
      </c>
      <c r="C23" t="s">
        <v>2460</v>
      </c>
      <c r="D23" t="s">
        <v>2182</v>
      </c>
      <c r="E23" t="s">
        <v>1902</v>
      </c>
      <c r="F23" t="s">
        <v>2735</v>
      </c>
      <c r="G23" t="s">
        <v>1065</v>
      </c>
      <c r="H23" t="s">
        <v>3046</v>
      </c>
      <c r="I23" t="s">
        <v>3047</v>
      </c>
      <c r="J23" t="s">
        <v>3439</v>
      </c>
      <c r="K23" s="6" t="s">
        <v>3489</v>
      </c>
      <c r="L23" s="5" t="s">
        <v>3489</v>
      </c>
      <c r="M23" t="s">
        <v>1345</v>
      </c>
      <c r="N23" t="s">
        <v>1345</v>
      </c>
      <c r="O23" t="s">
        <v>16</v>
      </c>
      <c r="P23" t="s">
        <v>20</v>
      </c>
      <c r="Q23" t="s">
        <v>166</v>
      </c>
      <c r="R23" t="s">
        <v>167</v>
      </c>
      <c r="S23" s="4">
        <v>30463672072265</v>
      </c>
      <c r="T23" t="s">
        <v>46</v>
      </c>
      <c r="U23" s="1">
        <v>6179.9</v>
      </c>
      <c r="V23" s="1" t="s">
        <v>680</v>
      </c>
      <c r="W23" s="1" t="s">
        <v>1032</v>
      </c>
      <c r="X23" t="str">
        <f>IF(V23="","",VLOOKUP(V23,WMI!A:C,2,FALSE))</f>
        <v>Germany</v>
      </c>
      <c r="Y23" t="str">
        <f>IF(V23="","",VLOOKUP(V23,WMI!A:C,3,FALSE))</f>
        <v>Volkswagen</v>
      </c>
      <c r="Z23">
        <f>IF(W23="","",VLOOKUP(W23,year!A:B,2,FALSE))</f>
        <v>2010</v>
      </c>
    </row>
    <row r="24" spans="1:26" x14ac:dyDescent="0.25">
      <c r="A24">
        <v>788</v>
      </c>
      <c r="B24" t="s">
        <v>1624</v>
      </c>
      <c r="C24" t="s">
        <v>2461</v>
      </c>
      <c r="D24" t="s">
        <v>2183</v>
      </c>
      <c r="E24" t="s">
        <v>1903</v>
      </c>
      <c r="F24" t="s">
        <v>2736</v>
      </c>
      <c r="G24" t="s">
        <v>1066</v>
      </c>
      <c r="H24" t="s">
        <v>3048</v>
      </c>
      <c r="I24" t="s">
        <v>3049</v>
      </c>
      <c r="J24" t="s">
        <v>3001</v>
      </c>
      <c r="K24" s="6" t="s">
        <v>3490</v>
      </c>
      <c r="L24" s="5" t="s">
        <v>3490</v>
      </c>
      <c r="M24" t="s">
        <v>1346</v>
      </c>
      <c r="N24" t="s">
        <v>1346</v>
      </c>
      <c r="O24" t="s">
        <v>19</v>
      </c>
      <c r="P24" t="s">
        <v>17</v>
      </c>
      <c r="Q24" t="s">
        <v>47</v>
      </c>
      <c r="R24" t="s">
        <v>496</v>
      </c>
      <c r="S24" s="4">
        <v>4.9056164714866803E+17</v>
      </c>
      <c r="T24" t="s">
        <v>29</v>
      </c>
      <c r="U24" s="1">
        <v>5170.25</v>
      </c>
      <c r="V24" s="1" t="s">
        <v>676</v>
      </c>
      <c r="W24" s="1" t="s">
        <v>1032</v>
      </c>
      <c r="X24" t="str">
        <f>IF(V24="","",VLOOKUP(V24,WMI!A:C,2,FALSE))</f>
        <v>Germany[9]</v>
      </c>
      <c r="Y24" t="str">
        <f>IF(V24="","",VLOOKUP(V24,WMI!A:C,3,FALSE))</f>
        <v>Porsche SUV</v>
      </c>
      <c r="Z24">
        <f>IF(W24="","",VLOOKUP(W24,year!A:B,2,FALSE))</f>
        <v>2010</v>
      </c>
    </row>
    <row r="25" spans="1:26" x14ac:dyDescent="0.25">
      <c r="A25">
        <v>367</v>
      </c>
      <c r="B25" t="s">
        <v>1625</v>
      </c>
      <c r="C25" t="s">
        <v>2462</v>
      </c>
      <c r="D25" t="s">
        <v>2184</v>
      </c>
      <c r="E25" t="s">
        <v>1904</v>
      </c>
      <c r="F25" t="s">
        <v>2737</v>
      </c>
      <c r="G25" t="s">
        <v>1067</v>
      </c>
      <c r="H25" t="s">
        <v>3050</v>
      </c>
      <c r="I25" t="s">
        <v>3051</v>
      </c>
      <c r="J25" t="s">
        <v>3443</v>
      </c>
      <c r="K25" s="6" t="s">
        <v>3491</v>
      </c>
      <c r="L25" s="5" t="s">
        <v>3491</v>
      </c>
      <c r="M25" t="s">
        <v>1347</v>
      </c>
      <c r="N25" t="s">
        <v>1347</v>
      </c>
      <c r="O25" t="s">
        <v>16</v>
      </c>
      <c r="P25" t="s">
        <v>42</v>
      </c>
      <c r="Q25" t="s">
        <v>265</v>
      </c>
      <c r="R25" t="s">
        <v>309</v>
      </c>
      <c r="S25" s="4">
        <v>3547739104193410</v>
      </c>
      <c r="T25" t="s">
        <v>18</v>
      </c>
      <c r="U25" s="1">
        <v>8269.69</v>
      </c>
      <c r="V25" s="1" t="s">
        <v>585</v>
      </c>
      <c r="W25" s="1" t="s">
        <v>1032</v>
      </c>
      <c r="X25" t="str">
        <f>IF(V25="","",VLOOKUP(V25,WMI!A:C,2,FALSE))</f>
        <v>Japan</v>
      </c>
      <c r="Y25" t="str">
        <f>IF(V25="","",VLOOKUP(V25,WMI!A:C,3,FALSE))</f>
        <v>Mazda</v>
      </c>
      <c r="Z25">
        <f>IF(W25="","",VLOOKUP(W25,year!A:B,2,FALSE))</f>
        <v>2010</v>
      </c>
    </row>
    <row r="26" spans="1:26" x14ac:dyDescent="0.25">
      <c r="A26">
        <v>65</v>
      </c>
      <c r="B26" t="s">
        <v>1626</v>
      </c>
      <c r="C26" t="s">
        <v>2463</v>
      </c>
      <c r="D26" t="s">
        <v>2185</v>
      </c>
      <c r="E26" t="s">
        <v>1905</v>
      </c>
      <c r="F26" t="s">
        <v>2738</v>
      </c>
      <c r="G26" t="s">
        <v>1068</v>
      </c>
      <c r="H26" t="s">
        <v>3052</v>
      </c>
      <c r="I26" t="s">
        <v>3053</v>
      </c>
      <c r="J26" t="s">
        <v>3448</v>
      </c>
      <c r="K26" s="6" t="s">
        <v>3492</v>
      </c>
      <c r="L26" s="5" t="s">
        <v>3492</v>
      </c>
      <c r="M26" t="s">
        <v>1348</v>
      </c>
      <c r="N26" t="s">
        <v>1348</v>
      </c>
      <c r="O26" t="s">
        <v>16</v>
      </c>
      <c r="P26" t="s">
        <v>17</v>
      </c>
      <c r="Q26" t="s">
        <v>91</v>
      </c>
      <c r="R26" t="s">
        <v>106</v>
      </c>
      <c r="S26" s="4">
        <v>3561195233885440</v>
      </c>
      <c r="T26" t="s">
        <v>18</v>
      </c>
      <c r="U26" s="1">
        <v>7577.68</v>
      </c>
      <c r="V26" s="1" t="s">
        <v>776</v>
      </c>
      <c r="W26" s="1" t="s">
        <v>1032</v>
      </c>
      <c r="X26" t="str">
        <f>IF(V26="","",VLOOKUP(V26,WMI!A:C,2,FALSE))</f>
        <v>Japan</v>
      </c>
      <c r="Y26" t="str">
        <f>IF(V26="","",VLOOKUP(V26,WMI!A:C,3,FALSE))</f>
        <v>Honda</v>
      </c>
      <c r="Z26">
        <f>IF(W26="","",VLOOKUP(W26,year!A:B,2,FALSE))</f>
        <v>2010</v>
      </c>
    </row>
    <row r="27" spans="1:26" x14ac:dyDescent="0.25">
      <c r="A27">
        <v>775</v>
      </c>
      <c r="B27" t="s">
        <v>1627</v>
      </c>
      <c r="C27" t="s">
        <v>2464</v>
      </c>
      <c r="D27" t="s">
        <v>2186</v>
      </c>
      <c r="E27" t="s">
        <v>1906</v>
      </c>
      <c r="F27" t="s">
        <v>2739</v>
      </c>
      <c r="G27" t="s">
        <v>1069</v>
      </c>
      <c r="H27" t="s">
        <v>3054</v>
      </c>
      <c r="I27" t="s">
        <v>3055</v>
      </c>
      <c r="J27" t="s">
        <v>3449</v>
      </c>
      <c r="K27" s="6" t="s">
        <v>3493</v>
      </c>
      <c r="L27" s="5" t="s">
        <v>3493</v>
      </c>
      <c r="M27" t="s">
        <v>1349</v>
      </c>
      <c r="N27" t="s">
        <v>1349</v>
      </c>
      <c r="O27" t="s">
        <v>19</v>
      </c>
      <c r="P27" t="s">
        <v>107</v>
      </c>
      <c r="Q27" t="s">
        <v>413</v>
      </c>
      <c r="R27" t="s">
        <v>489</v>
      </c>
      <c r="S27" s="4">
        <v>4508125969163030</v>
      </c>
      <c r="T27" t="s">
        <v>26</v>
      </c>
      <c r="U27" s="1">
        <v>9310.35</v>
      </c>
      <c r="V27" s="1" t="s">
        <v>776</v>
      </c>
      <c r="W27" s="1" t="s">
        <v>1032</v>
      </c>
      <c r="X27" t="str">
        <f>IF(V27="","",VLOOKUP(V27,WMI!A:C,2,FALSE))</f>
        <v>Japan</v>
      </c>
      <c r="Y27" t="str">
        <f>IF(V27="","",VLOOKUP(V27,WMI!A:C,3,FALSE))</f>
        <v>Honda</v>
      </c>
      <c r="Z27">
        <f>IF(W27="","",VLOOKUP(W27,year!A:B,2,FALSE))</f>
        <v>2010</v>
      </c>
    </row>
    <row r="28" spans="1:26" x14ac:dyDescent="0.25">
      <c r="A28">
        <v>241</v>
      </c>
      <c r="B28" t="s">
        <v>1628</v>
      </c>
      <c r="C28" t="s">
        <v>2465</v>
      </c>
      <c r="D28" t="s">
        <v>2187</v>
      </c>
      <c r="E28" t="s">
        <v>1907</v>
      </c>
      <c r="F28" t="s">
        <v>2740</v>
      </c>
      <c r="G28" t="s">
        <v>1070</v>
      </c>
      <c r="H28" t="s">
        <v>3056</v>
      </c>
      <c r="I28" t="s">
        <v>104</v>
      </c>
      <c r="J28" t="s">
        <v>2993</v>
      </c>
      <c r="K28" s="6" t="s">
        <v>3494</v>
      </c>
      <c r="L28" s="5" t="s">
        <v>3494</v>
      </c>
      <c r="M28" t="s">
        <v>1350</v>
      </c>
      <c r="N28" t="s">
        <v>1350</v>
      </c>
      <c r="O28" t="s">
        <v>19</v>
      </c>
      <c r="P28" t="s">
        <v>107</v>
      </c>
      <c r="Q28" t="s">
        <v>239</v>
      </c>
      <c r="R28" t="s">
        <v>243</v>
      </c>
      <c r="S28" s="4">
        <v>6334630070215050</v>
      </c>
      <c r="T28" t="s">
        <v>140</v>
      </c>
      <c r="U28" s="1">
        <v>5749.12</v>
      </c>
      <c r="V28" s="1" t="s">
        <v>728</v>
      </c>
      <c r="W28" s="1" t="s">
        <v>1032</v>
      </c>
      <c r="X28" t="str">
        <f>IF(V28="","",VLOOKUP(V28,WMI!A:C,2,FALSE))</f>
        <v>Mexico</v>
      </c>
      <c r="Y28" t="str">
        <f>IF(V28="","",VLOOKUP(V28,WMI!A:C,3,FALSE))</f>
        <v>Volkswagen</v>
      </c>
      <c r="Z28">
        <f>IF(W28="","",VLOOKUP(W28,year!A:B,2,FALSE))</f>
        <v>2010</v>
      </c>
    </row>
    <row r="29" spans="1:26" x14ac:dyDescent="0.25">
      <c r="A29">
        <v>830</v>
      </c>
      <c r="B29" t="s">
        <v>1629</v>
      </c>
      <c r="C29" t="s">
        <v>2466</v>
      </c>
      <c r="D29" t="s">
        <v>2188</v>
      </c>
      <c r="E29" t="s">
        <v>1908</v>
      </c>
      <c r="F29" t="s">
        <v>2741</v>
      </c>
      <c r="G29" t="s">
        <v>1071</v>
      </c>
      <c r="H29" t="s">
        <v>3057</v>
      </c>
      <c r="I29" t="s">
        <v>3058</v>
      </c>
      <c r="J29" t="s">
        <v>3439</v>
      </c>
      <c r="K29" s="6" t="s">
        <v>3495</v>
      </c>
      <c r="L29" s="5" t="s">
        <v>3495</v>
      </c>
      <c r="M29" t="s">
        <v>1351</v>
      </c>
      <c r="N29" t="s">
        <v>1351</v>
      </c>
      <c r="O29" t="s">
        <v>16</v>
      </c>
      <c r="P29" t="s">
        <v>405</v>
      </c>
      <c r="Q29" t="s">
        <v>514</v>
      </c>
      <c r="R29" t="s">
        <v>515</v>
      </c>
      <c r="S29" s="4">
        <v>3543480479073530</v>
      </c>
      <c r="T29" t="s">
        <v>18</v>
      </c>
      <c r="U29" s="1">
        <v>8844.42</v>
      </c>
      <c r="V29" s="1" t="s">
        <v>728</v>
      </c>
      <c r="W29" s="1" t="s">
        <v>1032</v>
      </c>
      <c r="X29" t="str">
        <f>IF(V29="","",VLOOKUP(V29,WMI!A:C,2,FALSE))</f>
        <v>Mexico</v>
      </c>
      <c r="Y29" t="str">
        <f>IF(V29="","",VLOOKUP(V29,WMI!A:C,3,FALSE))</f>
        <v>Volkswagen</v>
      </c>
      <c r="Z29">
        <f>IF(W29="","",VLOOKUP(W29,year!A:B,2,FALSE))</f>
        <v>2010</v>
      </c>
    </row>
    <row r="30" spans="1:26" x14ac:dyDescent="0.25">
      <c r="A30">
        <v>917</v>
      </c>
      <c r="B30" t="s">
        <v>1630</v>
      </c>
      <c r="C30" t="s">
        <v>2467</v>
      </c>
      <c r="D30" t="s">
        <v>2189</v>
      </c>
      <c r="E30" t="s">
        <v>1909</v>
      </c>
      <c r="F30" t="s">
        <v>2742</v>
      </c>
      <c r="G30" t="s">
        <v>1072</v>
      </c>
      <c r="H30" t="s">
        <v>3059</v>
      </c>
      <c r="I30" t="s">
        <v>3060</v>
      </c>
      <c r="J30" t="s">
        <v>3450</v>
      </c>
      <c r="K30" s="6" t="s">
        <v>3496</v>
      </c>
      <c r="L30" s="5" t="s">
        <v>3496</v>
      </c>
      <c r="M30" t="s">
        <v>1352</v>
      </c>
      <c r="N30" t="s">
        <v>1352</v>
      </c>
      <c r="O30" t="s">
        <v>16</v>
      </c>
      <c r="P30" t="s">
        <v>43</v>
      </c>
      <c r="Q30" t="s">
        <v>550</v>
      </c>
      <c r="R30" t="s">
        <v>551</v>
      </c>
      <c r="S30" s="4">
        <v>6.70998844567082E+16</v>
      </c>
      <c r="T30" t="s">
        <v>41</v>
      </c>
      <c r="U30" s="1">
        <v>5460.16</v>
      </c>
      <c r="V30" s="1" t="s">
        <v>728</v>
      </c>
      <c r="W30" s="1" t="s">
        <v>1032</v>
      </c>
      <c r="X30" t="str">
        <f>IF(V30="","",VLOOKUP(V30,WMI!A:C,2,FALSE))</f>
        <v>Mexico</v>
      </c>
      <c r="Y30" t="str">
        <f>IF(V30="","",VLOOKUP(V30,WMI!A:C,3,FALSE))</f>
        <v>Volkswagen</v>
      </c>
      <c r="Z30">
        <f>IF(W30="","",VLOOKUP(W30,year!A:B,2,FALSE))</f>
        <v>2010</v>
      </c>
    </row>
    <row r="31" spans="1:26" x14ac:dyDescent="0.25">
      <c r="A31">
        <v>626</v>
      </c>
      <c r="B31" t="s">
        <v>1631</v>
      </c>
      <c r="C31" t="s">
        <v>2468</v>
      </c>
      <c r="D31" t="s">
        <v>2190</v>
      </c>
      <c r="E31" t="s">
        <v>1910</v>
      </c>
      <c r="F31" t="s">
        <v>2743</v>
      </c>
      <c r="G31" t="s">
        <v>1073</v>
      </c>
      <c r="H31" t="s">
        <v>3061</v>
      </c>
      <c r="I31" t="s">
        <v>3062</v>
      </c>
      <c r="J31" t="s">
        <v>3445</v>
      </c>
      <c r="K31" s="6" t="s">
        <v>3497</v>
      </c>
      <c r="L31" s="5" t="s">
        <v>3497</v>
      </c>
      <c r="M31" t="s">
        <v>1353</v>
      </c>
      <c r="N31" t="s">
        <v>1353</v>
      </c>
      <c r="O31" t="s">
        <v>16</v>
      </c>
      <c r="P31" t="s">
        <v>104</v>
      </c>
      <c r="Q31" t="s">
        <v>425</v>
      </c>
      <c r="R31" t="s">
        <v>426</v>
      </c>
      <c r="S31" s="4">
        <v>3557390090973130</v>
      </c>
      <c r="T31" t="s">
        <v>18</v>
      </c>
      <c r="U31" s="1">
        <v>5014.1000000000004</v>
      </c>
      <c r="V31" s="1" t="s">
        <v>781</v>
      </c>
      <c r="W31" s="1" t="s">
        <v>1032</v>
      </c>
      <c r="X31" t="str">
        <f>IF(V31="","",VLOOKUP(V31,WMI!A:C,2,FALSE))</f>
        <v>South Korea</v>
      </c>
      <c r="Y31" t="str">
        <f>IF(V31="","",VLOOKUP(V31,WMI!A:C,3,FALSE))</f>
        <v>Hyundai</v>
      </c>
      <c r="Z31">
        <f>IF(W31="","",VLOOKUP(W31,year!A:B,2,FALSE))</f>
        <v>2010</v>
      </c>
    </row>
    <row r="32" spans="1:26" x14ac:dyDescent="0.25">
      <c r="A32">
        <v>320</v>
      </c>
      <c r="B32" t="s">
        <v>1632</v>
      </c>
      <c r="C32" t="s">
        <v>2469</v>
      </c>
      <c r="D32" t="s">
        <v>2191</v>
      </c>
      <c r="E32" t="s">
        <v>1911</v>
      </c>
      <c r="F32" t="s">
        <v>2744</v>
      </c>
      <c r="G32" t="s">
        <v>1074</v>
      </c>
      <c r="H32" t="s">
        <v>3063</v>
      </c>
      <c r="I32" t="s">
        <v>3064</v>
      </c>
      <c r="J32" t="s">
        <v>3443</v>
      </c>
      <c r="K32" s="6" t="s">
        <v>3498</v>
      </c>
      <c r="L32" s="5" t="s">
        <v>3498</v>
      </c>
      <c r="M32" t="s">
        <v>1354</v>
      </c>
      <c r="N32" t="s">
        <v>1354</v>
      </c>
      <c r="O32" t="s">
        <v>16</v>
      </c>
      <c r="P32" t="s">
        <v>74</v>
      </c>
      <c r="Q32" t="s">
        <v>284</v>
      </c>
      <c r="R32" t="s">
        <v>285</v>
      </c>
      <c r="S32" s="4">
        <v>3551209204243060</v>
      </c>
      <c r="T32" t="s">
        <v>18</v>
      </c>
      <c r="U32" s="1">
        <v>9389.43</v>
      </c>
      <c r="V32" s="1" t="s">
        <v>692</v>
      </c>
      <c r="W32" s="1" t="s">
        <v>1032</v>
      </c>
      <c r="X32" t="str">
        <f>IF(V32="","",VLOOKUP(V32,WMI!A:C,2,FALSE))</f>
        <v>Sweden</v>
      </c>
      <c r="Y32" t="str">
        <f>IF(V32="","",VLOOKUP(V32,WMI!A:C,3,FALSE))</f>
        <v>Volvo Cars</v>
      </c>
      <c r="Z32">
        <f>IF(W32="","",VLOOKUP(W32,year!A:B,2,FALSE))</f>
        <v>2010</v>
      </c>
    </row>
    <row r="33" spans="1:26" x14ac:dyDescent="0.25">
      <c r="A33">
        <v>578</v>
      </c>
      <c r="B33" t="s">
        <v>1633</v>
      </c>
      <c r="C33" t="s">
        <v>2470</v>
      </c>
      <c r="D33" t="s">
        <v>2192</v>
      </c>
      <c r="E33" t="s">
        <v>1912</v>
      </c>
      <c r="F33" t="s">
        <v>2745</v>
      </c>
      <c r="G33" t="s">
        <v>1075</v>
      </c>
      <c r="H33" t="s">
        <v>3065</v>
      </c>
      <c r="I33" t="s">
        <v>3066</v>
      </c>
      <c r="J33" t="s">
        <v>3451</v>
      </c>
      <c r="K33" s="6" t="s">
        <v>3499</v>
      </c>
      <c r="L33" s="5" t="s">
        <v>3499</v>
      </c>
      <c r="M33" t="s">
        <v>1355</v>
      </c>
      <c r="N33" t="s">
        <v>1355</v>
      </c>
      <c r="O33" t="s">
        <v>19</v>
      </c>
      <c r="P33" t="s">
        <v>137</v>
      </c>
      <c r="Q33" t="s">
        <v>253</v>
      </c>
      <c r="R33" t="s">
        <v>404</v>
      </c>
      <c r="S33" s="4">
        <v>375288412962829</v>
      </c>
      <c r="T33" t="s">
        <v>48</v>
      </c>
      <c r="U33" s="1">
        <v>5278.65</v>
      </c>
      <c r="V33" s="1" t="s">
        <v>692</v>
      </c>
      <c r="W33" s="1" t="s">
        <v>1032</v>
      </c>
      <c r="X33" t="str">
        <f>IF(V33="","",VLOOKUP(V33,WMI!A:C,2,FALSE))</f>
        <v>Sweden</v>
      </c>
      <c r="Y33" t="str">
        <f>IF(V33="","",VLOOKUP(V33,WMI!A:C,3,FALSE))</f>
        <v>Volvo Cars</v>
      </c>
      <c r="Z33">
        <f>IF(W33="","",VLOOKUP(W33,year!A:B,2,FALSE))</f>
        <v>2010</v>
      </c>
    </row>
    <row r="34" spans="1:26" x14ac:dyDescent="0.25">
      <c r="A34">
        <v>752</v>
      </c>
      <c r="B34" t="s">
        <v>1634</v>
      </c>
      <c r="C34" t="s">
        <v>2471</v>
      </c>
      <c r="D34" t="s">
        <v>2193</v>
      </c>
      <c r="E34" t="s">
        <v>1913</v>
      </c>
      <c r="F34" t="s">
        <v>2746</v>
      </c>
      <c r="G34" t="s">
        <v>1076</v>
      </c>
      <c r="H34" t="s">
        <v>3067</v>
      </c>
      <c r="I34" t="s">
        <v>3068</v>
      </c>
      <c r="J34" t="s">
        <v>3452</v>
      </c>
      <c r="K34" s="6" t="s">
        <v>3500</v>
      </c>
      <c r="L34" s="5" t="s">
        <v>3500</v>
      </c>
      <c r="M34" t="s">
        <v>1356</v>
      </c>
      <c r="N34" t="s">
        <v>1356</v>
      </c>
      <c r="O34" t="s">
        <v>16</v>
      </c>
      <c r="P34" t="s">
        <v>147</v>
      </c>
      <c r="Q34" t="s">
        <v>368</v>
      </c>
      <c r="R34" t="s">
        <v>482</v>
      </c>
      <c r="S34" s="4">
        <v>5.6102633799228396E+18</v>
      </c>
      <c r="T34" t="s">
        <v>34</v>
      </c>
      <c r="U34" s="1">
        <v>5364.98</v>
      </c>
      <c r="V34" s="1" t="s">
        <v>622</v>
      </c>
      <c r="W34" s="1" t="s">
        <v>1032</v>
      </c>
      <c r="X34" t="str">
        <f>IF(V34="","",VLOOKUP(V34,WMI!A:C,2,FALSE))</f>
        <v>United Kingdom</v>
      </c>
      <c r="Y34" t="str">
        <f>IF(V34="","",VLOOKUP(V34,WMI!A:C,3,FALSE))</f>
        <v>Jaguar</v>
      </c>
      <c r="Z34">
        <f>IF(W34="","",VLOOKUP(W34,year!A:B,2,FALSE))</f>
        <v>2010</v>
      </c>
    </row>
    <row r="35" spans="1:26" x14ac:dyDescent="0.25">
      <c r="A35">
        <v>124</v>
      </c>
      <c r="B35" t="s">
        <v>1635</v>
      </c>
      <c r="C35" t="s">
        <v>2472</v>
      </c>
      <c r="D35" t="s">
        <v>2194</v>
      </c>
      <c r="E35" t="s">
        <v>1914</v>
      </c>
      <c r="F35" t="s">
        <v>2747</v>
      </c>
      <c r="G35" t="s">
        <v>1077</v>
      </c>
      <c r="H35" t="s">
        <v>3069</v>
      </c>
      <c r="I35" t="s">
        <v>3070</v>
      </c>
      <c r="J35" t="s">
        <v>3442</v>
      </c>
      <c r="K35" s="6" t="s">
        <v>3501</v>
      </c>
      <c r="L35" s="5" t="s">
        <v>3501</v>
      </c>
      <c r="M35" t="s">
        <v>1357</v>
      </c>
      <c r="N35" t="s">
        <v>1357</v>
      </c>
      <c r="O35" t="s">
        <v>16</v>
      </c>
      <c r="P35" t="s">
        <v>39</v>
      </c>
      <c r="Q35" t="s">
        <v>161</v>
      </c>
      <c r="R35" t="s">
        <v>162</v>
      </c>
      <c r="S35" s="4">
        <v>201941460618939</v>
      </c>
      <c r="T35" t="s">
        <v>28</v>
      </c>
      <c r="U35" s="1">
        <v>9319.82</v>
      </c>
      <c r="V35" s="1" t="s">
        <v>621</v>
      </c>
      <c r="W35" s="1" t="s">
        <v>1032</v>
      </c>
      <c r="X35" t="str">
        <f>IF(V35="","",VLOOKUP(V35,WMI!A:C,2,FALSE))</f>
        <v>United Kingdom</v>
      </c>
      <c r="Y35" t="str">
        <f>IF(V35="","",VLOOKUP(V35,WMI!A:C,3,FALSE))</f>
        <v>Land Rover</v>
      </c>
      <c r="Z35">
        <f>IF(W35="","",VLOOKUP(W35,year!A:B,2,FALSE))</f>
        <v>2010</v>
      </c>
    </row>
    <row r="36" spans="1:26" x14ac:dyDescent="0.25">
      <c r="A36">
        <v>117</v>
      </c>
      <c r="B36" t="s">
        <v>1636</v>
      </c>
      <c r="C36" t="s">
        <v>2473</v>
      </c>
      <c r="D36" t="s">
        <v>2195</v>
      </c>
      <c r="E36" t="s">
        <v>1915</v>
      </c>
      <c r="F36" t="s">
        <v>2748</v>
      </c>
      <c r="G36" t="s">
        <v>1078</v>
      </c>
      <c r="H36" t="s">
        <v>3071</v>
      </c>
      <c r="I36" t="s">
        <v>3072</v>
      </c>
      <c r="J36" t="s">
        <v>3453</v>
      </c>
      <c r="K36" s="6" t="s">
        <v>3502</v>
      </c>
      <c r="L36" s="5" t="s">
        <v>3502</v>
      </c>
      <c r="M36" t="s">
        <v>1358</v>
      </c>
      <c r="N36" t="s">
        <v>1358</v>
      </c>
      <c r="O36" t="s">
        <v>16</v>
      </c>
      <c r="P36" t="s">
        <v>53</v>
      </c>
      <c r="Q36" t="s">
        <v>152</v>
      </c>
      <c r="R36" t="s">
        <v>153</v>
      </c>
      <c r="S36" s="4">
        <v>3562160901082050</v>
      </c>
      <c r="T36" t="s">
        <v>18</v>
      </c>
      <c r="U36" s="1">
        <v>5279.62</v>
      </c>
      <c r="V36" s="1" t="s">
        <v>709</v>
      </c>
      <c r="W36" s="1" t="s">
        <v>1032</v>
      </c>
      <c r="X36" t="str">
        <f>IF(V36="","",VLOOKUP(V36,WMI!A:C,2,FALSE))</f>
        <v>United States</v>
      </c>
      <c r="Y36" t="str">
        <f>IF(V36="","",VLOOKUP(V36,WMI!A:C,3,FALSE))</f>
        <v>Buick</v>
      </c>
      <c r="Z36">
        <f>IF(W36="","",VLOOKUP(W36,year!A:B,2,FALSE))</f>
        <v>2010</v>
      </c>
    </row>
    <row r="37" spans="1:26" x14ac:dyDescent="0.25">
      <c r="A37">
        <v>223</v>
      </c>
      <c r="B37" t="s">
        <v>1637</v>
      </c>
      <c r="C37" t="s">
        <v>2474</v>
      </c>
      <c r="D37" t="s">
        <v>2196</v>
      </c>
      <c r="E37" t="s">
        <v>1916</v>
      </c>
      <c r="F37" t="s">
        <v>2749</v>
      </c>
      <c r="G37" t="s">
        <v>1079</v>
      </c>
      <c r="H37" t="s">
        <v>3073</v>
      </c>
      <c r="I37" t="s">
        <v>3074</v>
      </c>
      <c r="J37" t="s">
        <v>3445</v>
      </c>
      <c r="K37" s="6" t="s">
        <v>3503</v>
      </c>
      <c r="L37" s="5" t="s">
        <v>3503</v>
      </c>
      <c r="M37" t="s">
        <v>1359</v>
      </c>
      <c r="N37" t="s">
        <v>1359</v>
      </c>
      <c r="O37" t="s">
        <v>16</v>
      </c>
      <c r="P37" t="s">
        <v>107</v>
      </c>
      <c r="Q37" t="s">
        <v>227</v>
      </c>
      <c r="R37" t="s">
        <v>228</v>
      </c>
      <c r="S37" s="4">
        <v>5550173826333390</v>
      </c>
      <c r="T37" t="s">
        <v>229</v>
      </c>
      <c r="U37" s="1">
        <v>8128.62</v>
      </c>
      <c r="V37" s="1" t="s">
        <v>709</v>
      </c>
      <c r="W37" s="1" t="s">
        <v>1032</v>
      </c>
      <c r="X37" t="str">
        <f>IF(V37="","",VLOOKUP(V37,WMI!A:C,2,FALSE))</f>
        <v>United States</v>
      </c>
      <c r="Y37" t="str">
        <f>IF(V37="","",VLOOKUP(V37,WMI!A:C,3,FALSE))</f>
        <v>Buick</v>
      </c>
      <c r="Z37">
        <f>IF(W37="","",VLOOKUP(W37,year!A:B,2,FALSE))</f>
        <v>2010</v>
      </c>
    </row>
    <row r="38" spans="1:26" x14ac:dyDescent="0.25">
      <c r="A38">
        <v>351</v>
      </c>
      <c r="B38" t="s">
        <v>1638</v>
      </c>
      <c r="C38" t="s">
        <v>2475</v>
      </c>
      <c r="D38" t="s">
        <v>2197</v>
      </c>
      <c r="E38" t="s">
        <v>1917</v>
      </c>
      <c r="F38" t="s">
        <v>2750</v>
      </c>
      <c r="G38" t="s">
        <v>1080</v>
      </c>
      <c r="H38" t="s">
        <v>3075</v>
      </c>
      <c r="I38" t="s">
        <v>3076</v>
      </c>
      <c r="J38" t="s">
        <v>3454</v>
      </c>
      <c r="K38" s="6" t="s">
        <v>3504</v>
      </c>
      <c r="L38" s="5" t="s">
        <v>3504</v>
      </c>
      <c r="M38" t="s">
        <v>1360</v>
      </c>
      <c r="N38" t="s">
        <v>1360</v>
      </c>
      <c r="O38" t="s">
        <v>19</v>
      </c>
      <c r="P38" t="s">
        <v>133</v>
      </c>
      <c r="Q38" t="s">
        <v>297</v>
      </c>
      <c r="R38" t="s">
        <v>298</v>
      </c>
      <c r="S38" s="4">
        <v>3576330930673310</v>
      </c>
      <c r="T38" t="s">
        <v>18</v>
      </c>
      <c r="U38" s="1">
        <v>5456.98</v>
      </c>
      <c r="V38" s="1" t="s">
        <v>709</v>
      </c>
      <c r="W38" s="1" t="s">
        <v>1032</v>
      </c>
      <c r="X38" t="str">
        <f>IF(V38="","",VLOOKUP(V38,WMI!A:C,2,FALSE))</f>
        <v>United States</v>
      </c>
      <c r="Y38" t="str">
        <f>IF(V38="","",VLOOKUP(V38,WMI!A:C,3,FALSE))</f>
        <v>Buick</v>
      </c>
      <c r="Z38">
        <f>IF(W38="","",VLOOKUP(W38,year!A:B,2,FALSE))</f>
        <v>2010</v>
      </c>
    </row>
    <row r="39" spans="1:26" x14ac:dyDescent="0.25">
      <c r="A39">
        <v>433</v>
      </c>
      <c r="B39" t="s">
        <v>1639</v>
      </c>
      <c r="C39" t="s">
        <v>2476</v>
      </c>
      <c r="D39" t="s">
        <v>2198</v>
      </c>
      <c r="E39" t="s">
        <v>1918</v>
      </c>
      <c r="F39" t="s">
        <v>2751</v>
      </c>
      <c r="G39" t="s">
        <v>1081</v>
      </c>
      <c r="H39" t="s">
        <v>3077</v>
      </c>
      <c r="I39" t="s">
        <v>3078</v>
      </c>
      <c r="J39" t="s">
        <v>3440</v>
      </c>
      <c r="K39" s="6" t="s">
        <v>3505</v>
      </c>
      <c r="L39" s="5" t="s">
        <v>3505</v>
      </c>
      <c r="M39" t="s">
        <v>1361</v>
      </c>
      <c r="N39" t="s">
        <v>1361</v>
      </c>
      <c r="O39" t="s">
        <v>16</v>
      </c>
      <c r="P39" t="s">
        <v>20</v>
      </c>
      <c r="Q39" t="s">
        <v>347</v>
      </c>
      <c r="R39" t="s">
        <v>348</v>
      </c>
      <c r="S39" s="4">
        <v>5010120014122470</v>
      </c>
      <c r="T39" t="s">
        <v>23</v>
      </c>
      <c r="U39" s="1">
        <v>9366.07</v>
      </c>
      <c r="V39" s="1" t="s">
        <v>709</v>
      </c>
      <c r="W39" s="1" t="s">
        <v>1032</v>
      </c>
      <c r="X39" t="str">
        <f>IF(V39="","",VLOOKUP(V39,WMI!A:C,2,FALSE))</f>
        <v>United States</v>
      </c>
      <c r="Y39" t="str">
        <f>IF(V39="","",VLOOKUP(V39,WMI!A:C,3,FALSE))</f>
        <v>Buick</v>
      </c>
      <c r="Z39">
        <f>IF(W39="","",VLOOKUP(W39,year!A:B,2,FALSE))</f>
        <v>2010</v>
      </c>
    </row>
    <row r="40" spans="1:26" x14ac:dyDescent="0.25">
      <c r="A40">
        <v>645</v>
      </c>
      <c r="B40" t="s">
        <v>1640</v>
      </c>
      <c r="C40" t="s">
        <v>2477</v>
      </c>
      <c r="D40" t="s">
        <v>2199</v>
      </c>
      <c r="E40" t="s">
        <v>1919</v>
      </c>
      <c r="F40" t="s">
        <v>2752</v>
      </c>
      <c r="G40" t="s">
        <v>1082</v>
      </c>
      <c r="H40" t="s">
        <v>3079</v>
      </c>
      <c r="I40" t="s">
        <v>3080</v>
      </c>
      <c r="J40" t="s">
        <v>2993</v>
      </c>
      <c r="K40" s="6" t="s">
        <v>3506</v>
      </c>
      <c r="L40" s="5" t="s">
        <v>3506</v>
      </c>
      <c r="M40" t="s">
        <v>1362</v>
      </c>
      <c r="N40" t="s">
        <v>1362</v>
      </c>
      <c r="O40" t="s">
        <v>19</v>
      </c>
      <c r="P40" t="s">
        <v>49</v>
      </c>
      <c r="Q40" t="s">
        <v>236</v>
      </c>
      <c r="R40" t="s">
        <v>432</v>
      </c>
      <c r="S40" s="4">
        <v>3542900561899050</v>
      </c>
      <c r="T40" t="s">
        <v>18</v>
      </c>
      <c r="U40" s="1">
        <v>5002.49</v>
      </c>
      <c r="V40" s="1" t="s">
        <v>709</v>
      </c>
      <c r="W40" s="1" t="s">
        <v>1032</v>
      </c>
      <c r="X40" t="str">
        <f>IF(V40="","",VLOOKUP(V40,WMI!A:C,2,FALSE))</f>
        <v>United States</v>
      </c>
      <c r="Y40" t="str">
        <f>IF(V40="","",VLOOKUP(V40,WMI!A:C,3,FALSE))</f>
        <v>Buick</v>
      </c>
      <c r="Z40">
        <f>IF(W40="","",VLOOKUP(W40,year!A:B,2,FALSE))</f>
        <v>2010</v>
      </c>
    </row>
    <row r="41" spans="1:26" x14ac:dyDescent="0.25">
      <c r="A41">
        <v>403</v>
      </c>
      <c r="B41" t="s">
        <v>1641</v>
      </c>
      <c r="C41" t="s">
        <v>2478</v>
      </c>
      <c r="D41" t="s">
        <v>2200</v>
      </c>
      <c r="E41" t="s">
        <v>1920</v>
      </c>
      <c r="F41" t="s">
        <v>2753</v>
      </c>
      <c r="G41" t="s">
        <v>1083</v>
      </c>
      <c r="H41" t="s">
        <v>3081</v>
      </c>
      <c r="I41" t="s">
        <v>3082</v>
      </c>
      <c r="J41" t="s">
        <v>3455</v>
      </c>
      <c r="K41" s="6" t="s">
        <v>3507</v>
      </c>
      <c r="L41" s="5" t="s">
        <v>3507</v>
      </c>
      <c r="M41" t="s">
        <v>1363</v>
      </c>
      <c r="N41" t="s">
        <v>1363</v>
      </c>
      <c r="O41" t="s">
        <v>19</v>
      </c>
      <c r="P41" t="s">
        <v>24</v>
      </c>
      <c r="Q41" t="s">
        <v>72</v>
      </c>
      <c r="R41" t="s">
        <v>327</v>
      </c>
      <c r="S41" s="4">
        <v>5.0180115893885702E+17</v>
      </c>
      <c r="T41" t="s">
        <v>82</v>
      </c>
      <c r="U41" s="1">
        <v>9675.58</v>
      </c>
      <c r="V41" s="1" t="s">
        <v>734</v>
      </c>
      <c r="W41" s="1" t="s">
        <v>1032</v>
      </c>
      <c r="X41" t="str">
        <f>IF(V41="","",VLOOKUP(V41,WMI!A:C,2,FALSE))</f>
        <v>United States</v>
      </c>
      <c r="Y41" t="str">
        <f>IF(V41="","",VLOOKUP(V41,WMI!A:C,3,FALSE))</f>
        <v>Nissan</v>
      </c>
      <c r="Z41">
        <f>IF(W41="","",VLOOKUP(W41,year!A:B,2,FALSE))</f>
        <v>2010</v>
      </c>
    </row>
    <row r="42" spans="1:26" x14ac:dyDescent="0.25">
      <c r="A42">
        <v>226</v>
      </c>
      <c r="B42" t="s">
        <v>1642</v>
      </c>
      <c r="C42" t="s">
        <v>2479</v>
      </c>
      <c r="D42" t="s">
        <v>2201</v>
      </c>
      <c r="E42" t="s">
        <v>1921</v>
      </c>
      <c r="F42" t="s">
        <v>2754</v>
      </c>
      <c r="G42" t="s">
        <v>1084</v>
      </c>
      <c r="H42" t="s">
        <v>3083</v>
      </c>
      <c r="I42" t="s">
        <v>3084</v>
      </c>
      <c r="J42" t="s">
        <v>3004</v>
      </c>
      <c r="K42" s="6" t="s">
        <v>3508</v>
      </c>
      <c r="L42" s="5" t="s">
        <v>3508</v>
      </c>
      <c r="M42" t="s">
        <v>1364</v>
      </c>
      <c r="N42" t="s">
        <v>1364</v>
      </c>
      <c r="O42" t="s">
        <v>16</v>
      </c>
      <c r="P42" t="s">
        <v>20</v>
      </c>
      <c r="Q42" t="s">
        <v>232</v>
      </c>
      <c r="R42" t="s">
        <v>233</v>
      </c>
      <c r="S42" s="4">
        <v>3541771138237540</v>
      </c>
      <c r="T42" t="s">
        <v>18</v>
      </c>
      <c r="U42" s="1">
        <v>5971.05</v>
      </c>
      <c r="V42" s="1" t="s">
        <v>924</v>
      </c>
      <c r="W42" s="1" t="s">
        <v>1032</v>
      </c>
      <c r="X42" t="str">
        <f>IF(V42="","",VLOOKUP(V42,WMI!A:C,2,FALSE))</f>
        <v>United States</v>
      </c>
      <c r="Y42" t="str">
        <f>IF(V42="","",VLOOKUP(V42,WMI!A:C,3,FALSE))</f>
        <v>Honda</v>
      </c>
      <c r="Z42">
        <f>IF(W42="","",VLOOKUP(W42,year!A:B,2,FALSE))</f>
        <v>2010</v>
      </c>
    </row>
    <row r="43" spans="1:26" x14ac:dyDescent="0.25">
      <c r="A43">
        <v>537</v>
      </c>
      <c r="B43" t="s">
        <v>1643</v>
      </c>
      <c r="C43" t="s">
        <v>2480</v>
      </c>
      <c r="D43" t="s">
        <v>2202</v>
      </c>
      <c r="E43" t="s">
        <v>1922</v>
      </c>
      <c r="F43" t="s">
        <v>2755</v>
      </c>
      <c r="G43" t="s">
        <v>1085</v>
      </c>
      <c r="H43" t="s">
        <v>3085</v>
      </c>
      <c r="I43" t="s">
        <v>3086</v>
      </c>
      <c r="J43" t="s">
        <v>3456</v>
      </c>
      <c r="K43" s="6" t="s">
        <v>3509</v>
      </c>
      <c r="L43" s="5" t="s">
        <v>3509</v>
      </c>
      <c r="M43" t="s">
        <v>1365</v>
      </c>
      <c r="N43" t="s">
        <v>1365</v>
      </c>
      <c r="O43" t="s">
        <v>19</v>
      </c>
      <c r="P43" t="s">
        <v>39</v>
      </c>
      <c r="Q43" t="s">
        <v>179</v>
      </c>
      <c r="R43" t="s">
        <v>387</v>
      </c>
      <c r="S43" s="4">
        <v>374959242467400</v>
      </c>
      <c r="T43" t="s">
        <v>48</v>
      </c>
      <c r="U43" s="1">
        <v>7935.79</v>
      </c>
      <c r="V43" s="1" t="s">
        <v>926</v>
      </c>
      <c r="W43" s="1" t="s">
        <v>1032</v>
      </c>
      <c r="X43" t="str">
        <f>IF(V43="","",VLOOKUP(V43,WMI!A:C,2,FALSE))</f>
        <v>United States</v>
      </c>
      <c r="Y43" t="str">
        <f>IF(V43="","",VLOOKUP(V43,WMI!A:C,3,FALSE))</f>
        <v>Hyundai</v>
      </c>
      <c r="Z43">
        <f>IF(W43="","",VLOOKUP(W43,year!A:B,2,FALSE))</f>
        <v>2010</v>
      </c>
    </row>
    <row r="44" spans="1:26" x14ac:dyDescent="0.25">
      <c r="A44">
        <v>952</v>
      </c>
      <c r="B44" t="s">
        <v>1644</v>
      </c>
      <c r="C44" t="s">
        <v>2481</v>
      </c>
      <c r="D44" t="s">
        <v>2203</v>
      </c>
      <c r="E44" t="s">
        <v>1923</v>
      </c>
      <c r="F44" t="s">
        <v>2756</v>
      </c>
      <c r="G44" t="s">
        <v>1086</v>
      </c>
      <c r="H44" t="s">
        <v>3087</v>
      </c>
      <c r="I44" t="s">
        <v>3088</v>
      </c>
      <c r="J44" t="s">
        <v>3445</v>
      </c>
      <c r="K44" s="6" t="s">
        <v>3510</v>
      </c>
      <c r="L44" s="5" t="s">
        <v>3510</v>
      </c>
      <c r="M44" t="s">
        <v>1366</v>
      </c>
      <c r="N44" t="s">
        <v>1366</v>
      </c>
      <c r="O44" t="s">
        <v>16</v>
      </c>
      <c r="P44" t="s">
        <v>100</v>
      </c>
      <c r="Q44" t="s">
        <v>563</v>
      </c>
      <c r="R44" t="s">
        <v>564</v>
      </c>
      <c r="S44" s="4">
        <v>4405297898079660</v>
      </c>
      <c r="T44" t="s">
        <v>26</v>
      </c>
      <c r="U44" s="1">
        <v>5164.09</v>
      </c>
      <c r="V44" s="1" t="s">
        <v>902</v>
      </c>
      <c r="W44" s="1" t="s">
        <v>1032</v>
      </c>
      <c r="X44" t="str">
        <f>IF(V44="","",VLOOKUP(V44,WMI!A:C,2,FALSE))</f>
        <v>United States</v>
      </c>
      <c r="Y44" t="str">
        <f>IF(V44="","",VLOOKUP(V44,WMI!A:C,3,FALSE))</f>
        <v>Honda</v>
      </c>
      <c r="Z44">
        <f>IF(W44="","",VLOOKUP(W44,year!A:B,2,FALSE))</f>
        <v>2010</v>
      </c>
    </row>
    <row r="45" spans="1:26" x14ac:dyDescent="0.25">
      <c r="A45">
        <v>87</v>
      </c>
      <c r="B45" t="s">
        <v>1645</v>
      </c>
      <c r="C45" t="s">
        <v>2482</v>
      </c>
      <c r="D45" t="s">
        <v>2204</v>
      </c>
      <c r="E45" t="s">
        <v>1924</v>
      </c>
      <c r="F45" t="s">
        <v>2757</v>
      </c>
      <c r="G45" t="s">
        <v>1087</v>
      </c>
      <c r="H45" t="s">
        <v>3089</v>
      </c>
      <c r="I45" t="s">
        <v>3090</v>
      </c>
      <c r="J45" t="s">
        <v>2993</v>
      </c>
      <c r="K45" s="6" t="s">
        <v>3511</v>
      </c>
      <c r="L45" s="5" t="s">
        <v>3511</v>
      </c>
      <c r="M45" t="s">
        <v>1367</v>
      </c>
      <c r="N45" t="s">
        <v>1367</v>
      </c>
      <c r="O45" t="s">
        <v>19</v>
      </c>
      <c r="P45" t="s">
        <v>39</v>
      </c>
      <c r="Q45" t="s">
        <v>124</v>
      </c>
      <c r="R45" t="s">
        <v>125</v>
      </c>
      <c r="S45" s="4">
        <v>4.9039612232320698E+17</v>
      </c>
      <c r="T45" t="s">
        <v>29</v>
      </c>
      <c r="U45" s="1">
        <v>7963.03</v>
      </c>
      <c r="V45" s="1" t="s">
        <v>660</v>
      </c>
      <c r="W45" s="1" t="s">
        <v>1033</v>
      </c>
      <c r="X45" t="str">
        <f>IF(V45="","",VLOOKUP(V45,WMI!A:C,2,FALSE))</f>
        <v>Germany</v>
      </c>
      <c r="Y45" t="str">
        <f>IF(V45="","",VLOOKUP(V45,WMI!A:C,3,FALSE))</f>
        <v>Audi</v>
      </c>
      <c r="Z45">
        <f>IF(W45="","",VLOOKUP(W45,year!A:B,2,FALSE))</f>
        <v>2011</v>
      </c>
    </row>
    <row r="46" spans="1:26" x14ac:dyDescent="0.25">
      <c r="A46">
        <v>90</v>
      </c>
      <c r="B46" t="s">
        <v>1646</v>
      </c>
      <c r="C46" t="s">
        <v>2483</v>
      </c>
      <c r="D46" t="s">
        <v>2205</v>
      </c>
      <c r="E46" t="s">
        <v>1925</v>
      </c>
      <c r="F46" t="s">
        <v>2758</v>
      </c>
      <c r="G46" t="s">
        <v>1088</v>
      </c>
      <c r="H46" t="s">
        <v>3091</v>
      </c>
      <c r="I46" t="s">
        <v>3092</v>
      </c>
      <c r="J46" t="s">
        <v>3451</v>
      </c>
      <c r="K46" s="6" t="s">
        <v>3512</v>
      </c>
      <c r="L46" s="5" t="s">
        <v>3512</v>
      </c>
      <c r="M46" t="s">
        <v>1368</v>
      </c>
      <c r="N46" t="s">
        <v>1368</v>
      </c>
      <c r="O46" t="s">
        <v>19</v>
      </c>
      <c r="P46" t="s">
        <v>79</v>
      </c>
      <c r="Q46" t="s">
        <v>126</v>
      </c>
      <c r="R46" t="s">
        <v>127</v>
      </c>
      <c r="S46" s="4">
        <v>3548380062055940</v>
      </c>
      <c r="T46" t="s">
        <v>18</v>
      </c>
      <c r="U46" s="1">
        <v>6120.5</v>
      </c>
      <c r="V46" s="1" t="s">
        <v>660</v>
      </c>
      <c r="W46" s="1" t="s">
        <v>1033</v>
      </c>
      <c r="X46" t="str">
        <f>IF(V46="","",VLOOKUP(V46,WMI!A:C,2,FALSE))</f>
        <v>Germany</v>
      </c>
      <c r="Y46" t="str">
        <f>IF(V46="","",VLOOKUP(V46,WMI!A:C,3,FALSE))</f>
        <v>Audi</v>
      </c>
      <c r="Z46">
        <f>IF(W46="","",VLOOKUP(W46,year!A:B,2,FALSE))</f>
        <v>2011</v>
      </c>
    </row>
    <row r="47" spans="1:26" x14ac:dyDescent="0.25">
      <c r="A47">
        <v>216</v>
      </c>
      <c r="B47" t="s">
        <v>1647</v>
      </c>
      <c r="C47" t="s">
        <v>2484</v>
      </c>
      <c r="D47" t="s">
        <v>2206</v>
      </c>
      <c r="E47" t="s">
        <v>1926</v>
      </c>
      <c r="F47" t="s">
        <v>2759</v>
      </c>
      <c r="G47" t="s">
        <v>1089</v>
      </c>
      <c r="H47" t="s">
        <v>3093</v>
      </c>
      <c r="I47" t="s">
        <v>3094</v>
      </c>
      <c r="J47" t="s">
        <v>3002</v>
      </c>
      <c r="K47" s="6" t="s">
        <v>3513</v>
      </c>
      <c r="L47" s="5" t="s">
        <v>3513</v>
      </c>
      <c r="M47" t="s">
        <v>1369</v>
      </c>
      <c r="N47" t="s">
        <v>1369</v>
      </c>
      <c r="O47" t="s">
        <v>16</v>
      </c>
      <c r="P47" t="s">
        <v>77</v>
      </c>
      <c r="Q47">
        <v>9000</v>
      </c>
      <c r="R47" t="s">
        <v>221</v>
      </c>
      <c r="S47" s="4">
        <v>5038060182509370</v>
      </c>
      <c r="T47" t="s">
        <v>82</v>
      </c>
      <c r="U47" s="1">
        <v>7687.85</v>
      </c>
      <c r="V47" s="1" t="s">
        <v>660</v>
      </c>
      <c r="W47" s="1" t="s">
        <v>1033</v>
      </c>
      <c r="X47" t="str">
        <f>IF(V47="","",VLOOKUP(V47,WMI!A:C,2,FALSE))</f>
        <v>Germany</v>
      </c>
      <c r="Y47" t="str">
        <f>IF(V47="","",VLOOKUP(V47,WMI!A:C,3,FALSE))</f>
        <v>Audi</v>
      </c>
      <c r="Z47">
        <f>IF(W47="","",VLOOKUP(W47,year!A:B,2,FALSE))</f>
        <v>2011</v>
      </c>
    </row>
    <row r="48" spans="1:26" x14ac:dyDescent="0.25">
      <c r="A48">
        <v>221</v>
      </c>
      <c r="B48" t="s">
        <v>1648</v>
      </c>
      <c r="C48" t="s">
        <v>2485</v>
      </c>
      <c r="D48" t="s">
        <v>2207</v>
      </c>
      <c r="E48" t="s">
        <v>1927</v>
      </c>
      <c r="F48" t="s">
        <v>2760</v>
      </c>
      <c r="G48" t="s">
        <v>1090</v>
      </c>
      <c r="H48" t="s">
        <v>3095</v>
      </c>
      <c r="I48" t="s">
        <v>3096</v>
      </c>
      <c r="J48" t="s">
        <v>2993</v>
      </c>
      <c r="K48" s="6" t="s">
        <v>3514</v>
      </c>
      <c r="L48" s="5" t="s">
        <v>3514</v>
      </c>
      <c r="M48" t="s">
        <v>1370</v>
      </c>
      <c r="N48" t="s">
        <v>1370</v>
      </c>
      <c r="O48" t="s">
        <v>16</v>
      </c>
      <c r="P48" t="s">
        <v>59</v>
      </c>
      <c r="Q48" t="s">
        <v>201</v>
      </c>
      <c r="R48" t="s">
        <v>226</v>
      </c>
      <c r="S48" s="4">
        <v>3587856676863850</v>
      </c>
      <c r="T48" t="s">
        <v>18</v>
      </c>
      <c r="U48" s="1">
        <v>7968.02</v>
      </c>
      <c r="V48" s="1" t="s">
        <v>660</v>
      </c>
      <c r="W48" s="1" t="s">
        <v>1033</v>
      </c>
      <c r="X48" t="str">
        <f>IF(V48="","",VLOOKUP(V48,WMI!A:C,2,FALSE))</f>
        <v>Germany</v>
      </c>
      <c r="Y48" t="str">
        <f>IF(V48="","",VLOOKUP(V48,WMI!A:C,3,FALSE))</f>
        <v>Audi</v>
      </c>
      <c r="Z48">
        <f>IF(W48="","",VLOOKUP(W48,year!A:B,2,FALSE))</f>
        <v>2011</v>
      </c>
    </row>
    <row r="49" spans="1:26" x14ac:dyDescent="0.25">
      <c r="A49">
        <v>237</v>
      </c>
      <c r="B49" t="s">
        <v>1649</v>
      </c>
      <c r="C49" t="s">
        <v>2486</v>
      </c>
      <c r="D49" t="s">
        <v>2208</v>
      </c>
      <c r="E49" t="s">
        <v>1928</v>
      </c>
      <c r="F49" t="s">
        <v>2761</v>
      </c>
      <c r="G49" t="s">
        <v>1091</v>
      </c>
      <c r="H49" t="s">
        <v>3097</v>
      </c>
      <c r="I49" t="s">
        <v>3004</v>
      </c>
      <c r="J49" t="s">
        <v>3457</v>
      </c>
      <c r="K49" s="6" t="s">
        <v>3515</v>
      </c>
      <c r="L49" s="5" t="s">
        <v>3515</v>
      </c>
      <c r="M49" t="s">
        <v>1371</v>
      </c>
      <c r="N49" t="s">
        <v>1371</v>
      </c>
      <c r="O49" t="s">
        <v>16</v>
      </c>
      <c r="P49" t="s">
        <v>107</v>
      </c>
      <c r="Q49" t="s">
        <v>239</v>
      </c>
      <c r="R49" t="s">
        <v>240</v>
      </c>
      <c r="S49" s="4">
        <v>3571354114352370</v>
      </c>
      <c r="T49" t="s">
        <v>18</v>
      </c>
      <c r="U49" s="1">
        <v>9668.61</v>
      </c>
      <c r="V49" s="1" t="s">
        <v>660</v>
      </c>
      <c r="W49" s="1" t="s">
        <v>1033</v>
      </c>
      <c r="X49" t="str">
        <f>IF(V49="","",VLOOKUP(V49,WMI!A:C,2,FALSE))</f>
        <v>Germany</v>
      </c>
      <c r="Y49" t="str">
        <f>IF(V49="","",VLOOKUP(V49,WMI!A:C,3,FALSE))</f>
        <v>Audi</v>
      </c>
      <c r="Z49">
        <f>IF(W49="","",VLOOKUP(W49,year!A:B,2,FALSE))</f>
        <v>2011</v>
      </c>
    </row>
    <row r="50" spans="1:26" x14ac:dyDescent="0.25">
      <c r="A50">
        <v>260</v>
      </c>
      <c r="B50" t="s">
        <v>1650</v>
      </c>
      <c r="C50" t="s">
        <v>2487</v>
      </c>
      <c r="D50" t="s">
        <v>2209</v>
      </c>
      <c r="E50" t="s">
        <v>1929</v>
      </c>
      <c r="F50" t="s">
        <v>2762</v>
      </c>
      <c r="G50" t="s">
        <v>1092</v>
      </c>
      <c r="H50" t="s">
        <v>3098</v>
      </c>
      <c r="I50" t="s">
        <v>3099</v>
      </c>
      <c r="J50" t="s">
        <v>2993</v>
      </c>
      <c r="K50" s="6" t="s">
        <v>3516</v>
      </c>
      <c r="L50" s="5" t="s">
        <v>3516</v>
      </c>
      <c r="M50" t="s">
        <v>1372</v>
      </c>
      <c r="N50" t="s">
        <v>1372</v>
      </c>
      <c r="O50" t="s">
        <v>16</v>
      </c>
      <c r="P50" t="s">
        <v>79</v>
      </c>
      <c r="Q50" t="s">
        <v>259</v>
      </c>
      <c r="R50" t="s">
        <v>260</v>
      </c>
      <c r="S50" s="4">
        <v>5468834430262030</v>
      </c>
      <c r="T50" t="s">
        <v>229</v>
      </c>
      <c r="U50" s="1">
        <v>5979.59</v>
      </c>
      <c r="V50" s="1" t="s">
        <v>660</v>
      </c>
      <c r="W50" s="1" t="s">
        <v>1033</v>
      </c>
      <c r="X50" t="str">
        <f>IF(V50="","",VLOOKUP(V50,WMI!A:C,2,FALSE))</f>
        <v>Germany</v>
      </c>
      <c r="Y50" t="str">
        <f>IF(V50="","",VLOOKUP(V50,WMI!A:C,3,FALSE))</f>
        <v>Audi</v>
      </c>
      <c r="Z50">
        <f>IF(W50="","",VLOOKUP(W50,year!A:B,2,FALSE))</f>
        <v>2011</v>
      </c>
    </row>
    <row r="51" spans="1:26" x14ac:dyDescent="0.25">
      <c r="A51">
        <v>301</v>
      </c>
      <c r="B51" t="s">
        <v>1651</v>
      </c>
      <c r="C51" t="s">
        <v>2488</v>
      </c>
      <c r="D51" t="s">
        <v>2210</v>
      </c>
      <c r="E51" t="s">
        <v>1930</v>
      </c>
      <c r="F51" t="s">
        <v>2763</v>
      </c>
      <c r="G51" t="s">
        <v>1093</v>
      </c>
      <c r="H51" t="s">
        <v>3100</v>
      </c>
      <c r="I51" t="s">
        <v>3101</v>
      </c>
      <c r="J51" t="s">
        <v>2999</v>
      </c>
      <c r="K51" s="6" t="s">
        <v>3517</v>
      </c>
      <c r="L51" s="5" t="s">
        <v>3517</v>
      </c>
      <c r="M51" t="s">
        <v>1373</v>
      </c>
      <c r="N51" t="s">
        <v>1373</v>
      </c>
      <c r="O51" t="s">
        <v>19</v>
      </c>
      <c r="P51" t="s">
        <v>49</v>
      </c>
      <c r="Q51" t="s">
        <v>279</v>
      </c>
      <c r="R51" t="s">
        <v>280</v>
      </c>
      <c r="S51" s="4">
        <v>3561503948500510</v>
      </c>
      <c r="T51" t="s">
        <v>18</v>
      </c>
      <c r="U51" s="1">
        <v>8050.73</v>
      </c>
      <c r="V51" s="1" t="s">
        <v>660</v>
      </c>
      <c r="W51" s="1" t="s">
        <v>1033</v>
      </c>
      <c r="X51" t="str">
        <f>IF(V51="","",VLOOKUP(V51,WMI!A:C,2,FALSE))</f>
        <v>Germany</v>
      </c>
      <c r="Y51" t="str">
        <f>IF(V51="","",VLOOKUP(V51,WMI!A:C,3,FALSE))</f>
        <v>Audi</v>
      </c>
      <c r="Z51">
        <f>IF(W51="","",VLOOKUP(W51,year!A:B,2,FALSE))</f>
        <v>2011</v>
      </c>
    </row>
    <row r="52" spans="1:26" x14ac:dyDescent="0.25">
      <c r="A52">
        <v>407</v>
      </c>
      <c r="B52" t="s">
        <v>1652</v>
      </c>
      <c r="C52" t="s">
        <v>2489</v>
      </c>
      <c r="D52" t="s">
        <v>2211</v>
      </c>
      <c r="E52" t="s">
        <v>1931</v>
      </c>
      <c r="F52" t="s">
        <v>2764</v>
      </c>
      <c r="G52" t="s">
        <v>1094</v>
      </c>
      <c r="H52" t="s">
        <v>3102</v>
      </c>
      <c r="I52" t="s">
        <v>3045</v>
      </c>
      <c r="J52" t="s">
        <v>2993</v>
      </c>
      <c r="K52" s="6" t="s">
        <v>3518</v>
      </c>
      <c r="L52" s="5" t="s">
        <v>3518</v>
      </c>
      <c r="M52" t="s">
        <v>1374</v>
      </c>
      <c r="N52" t="s">
        <v>1374</v>
      </c>
      <c r="O52" t="s">
        <v>19</v>
      </c>
      <c r="P52" t="s">
        <v>69</v>
      </c>
      <c r="Q52" t="s">
        <v>331</v>
      </c>
      <c r="R52" t="s">
        <v>332</v>
      </c>
      <c r="S52" s="4">
        <v>4913772756066160</v>
      </c>
      <c r="T52" t="s">
        <v>26</v>
      </c>
      <c r="U52" s="1">
        <v>9157.5499999999993</v>
      </c>
      <c r="V52" s="1" t="s">
        <v>660</v>
      </c>
      <c r="W52" s="1" t="s">
        <v>1033</v>
      </c>
      <c r="X52" t="str">
        <f>IF(V52="","",VLOOKUP(V52,WMI!A:C,2,FALSE))</f>
        <v>Germany</v>
      </c>
      <c r="Y52" t="str">
        <f>IF(V52="","",VLOOKUP(V52,WMI!A:C,3,FALSE))</f>
        <v>Audi</v>
      </c>
      <c r="Z52">
        <f>IF(W52="","",VLOOKUP(W52,year!A:B,2,FALSE))</f>
        <v>2011</v>
      </c>
    </row>
    <row r="53" spans="1:26" x14ac:dyDescent="0.25">
      <c r="A53">
        <v>501</v>
      </c>
      <c r="B53" t="s">
        <v>1653</v>
      </c>
      <c r="C53" t="s">
        <v>2490</v>
      </c>
      <c r="D53" t="s">
        <v>2212</v>
      </c>
      <c r="E53" t="s">
        <v>1932</v>
      </c>
      <c r="F53" t="s">
        <v>2765</v>
      </c>
      <c r="G53" t="s">
        <v>1095</v>
      </c>
      <c r="H53" t="s">
        <v>3103</v>
      </c>
      <c r="I53" t="s">
        <v>3104</v>
      </c>
      <c r="J53" t="s">
        <v>3458</v>
      </c>
      <c r="K53" s="6" t="s">
        <v>3519</v>
      </c>
      <c r="L53" s="5" t="s">
        <v>3519</v>
      </c>
      <c r="M53" t="s">
        <v>1375</v>
      </c>
      <c r="N53" t="s">
        <v>1375</v>
      </c>
      <c r="O53" t="s">
        <v>19</v>
      </c>
      <c r="P53" t="s">
        <v>107</v>
      </c>
      <c r="Q53" t="s">
        <v>370</v>
      </c>
      <c r="R53" t="s">
        <v>371</v>
      </c>
      <c r="S53" s="4">
        <v>4017954916227</v>
      </c>
      <c r="T53" t="s">
        <v>119</v>
      </c>
      <c r="U53" s="1">
        <v>6466.02</v>
      </c>
      <c r="V53" s="1" t="s">
        <v>660</v>
      </c>
      <c r="W53" s="1" t="s">
        <v>1033</v>
      </c>
      <c r="X53" t="str">
        <f>IF(V53="","",VLOOKUP(V53,WMI!A:C,2,FALSE))</f>
        <v>Germany</v>
      </c>
      <c r="Y53" t="str">
        <f>IF(V53="","",VLOOKUP(V53,WMI!A:C,3,FALSE))</f>
        <v>Audi</v>
      </c>
      <c r="Z53">
        <f>IF(W53="","",VLOOKUP(W53,year!A:B,2,FALSE))</f>
        <v>2011</v>
      </c>
    </row>
    <row r="54" spans="1:26" x14ac:dyDescent="0.25">
      <c r="A54">
        <v>611</v>
      </c>
      <c r="B54" t="s">
        <v>1654</v>
      </c>
      <c r="C54" t="s">
        <v>2491</v>
      </c>
      <c r="D54" t="s">
        <v>2213</v>
      </c>
      <c r="E54" t="s">
        <v>1933</v>
      </c>
      <c r="F54" t="s">
        <v>2766</v>
      </c>
      <c r="G54" t="s">
        <v>1096</v>
      </c>
      <c r="H54" t="s">
        <v>3105</v>
      </c>
      <c r="I54" t="s">
        <v>3106</v>
      </c>
      <c r="J54" t="s">
        <v>3004</v>
      </c>
      <c r="K54" s="6" t="s">
        <v>3520</v>
      </c>
      <c r="L54" s="5" t="s">
        <v>3520</v>
      </c>
      <c r="M54" t="s">
        <v>1376</v>
      </c>
      <c r="N54" t="s">
        <v>1376</v>
      </c>
      <c r="O54" t="s">
        <v>19</v>
      </c>
      <c r="P54" t="s">
        <v>61</v>
      </c>
      <c r="Q54" t="s">
        <v>116</v>
      </c>
      <c r="R54" t="s">
        <v>422</v>
      </c>
      <c r="S54" s="4">
        <v>6.3331588533176699E+18</v>
      </c>
      <c r="T54" t="s">
        <v>29</v>
      </c>
      <c r="U54" s="1">
        <v>9965.67</v>
      </c>
      <c r="V54" s="1" t="s">
        <v>660</v>
      </c>
      <c r="W54" s="1" t="s">
        <v>1033</v>
      </c>
      <c r="X54" t="str">
        <f>IF(V54="","",VLOOKUP(V54,WMI!A:C,2,FALSE))</f>
        <v>Germany</v>
      </c>
      <c r="Y54" t="str">
        <f>IF(V54="","",VLOOKUP(V54,WMI!A:C,3,FALSE))</f>
        <v>Audi</v>
      </c>
      <c r="Z54">
        <f>IF(W54="","",VLOOKUP(W54,year!A:B,2,FALSE))</f>
        <v>2011</v>
      </c>
    </row>
    <row r="55" spans="1:26" x14ac:dyDescent="0.25">
      <c r="A55">
        <v>659</v>
      </c>
      <c r="B55" t="s">
        <v>1655</v>
      </c>
      <c r="C55" t="s">
        <v>2492</v>
      </c>
      <c r="D55" t="s">
        <v>2214</v>
      </c>
      <c r="E55" t="s">
        <v>1934</v>
      </c>
      <c r="F55" t="s">
        <v>2767</v>
      </c>
      <c r="G55" t="s">
        <v>1097</v>
      </c>
      <c r="H55" t="s">
        <v>3107</v>
      </c>
      <c r="I55" t="s">
        <v>3041</v>
      </c>
      <c r="J55" t="s">
        <v>3447</v>
      </c>
      <c r="K55" s="6" t="s">
        <v>3521</v>
      </c>
      <c r="L55" s="5" t="s">
        <v>3521</v>
      </c>
      <c r="M55" t="s">
        <v>1377</v>
      </c>
      <c r="N55" t="s">
        <v>1377</v>
      </c>
      <c r="O55" t="s">
        <v>19</v>
      </c>
      <c r="P55" t="s">
        <v>223</v>
      </c>
      <c r="Q55" t="s">
        <v>439</v>
      </c>
      <c r="R55" t="s">
        <v>440</v>
      </c>
      <c r="S55" s="4">
        <v>3566892179779170</v>
      </c>
      <c r="T55" t="s">
        <v>18</v>
      </c>
      <c r="U55" s="1">
        <v>9623.83</v>
      </c>
      <c r="V55" s="1" t="s">
        <v>660</v>
      </c>
      <c r="W55" s="1" t="s">
        <v>1033</v>
      </c>
      <c r="X55" t="str">
        <f>IF(V55="","",VLOOKUP(V55,WMI!A:C,2,FALSE))</f>
        <v>Germany</v>
      </c>
      <c r="Y55" t="str">
        <f>IF(V55="","",VLOOKUP(V55,WMI!A:C,3,FALSE))</f>
        <v>Audi</v>
      </c>
      <c r="Z55">
        <f>IF(W55="","",VLOOKUP(W55,year!A:B,2,FALSE))</f>
        <v>2011</v>
      </c>
    </row>
    <row r="56" spans="1:26" x14ac:dyDescent="0.25">
      <c r="A56">
        <v>785</v>
      </c>
      <c r="B56" t="s">
        <v>1656</v>
      </c>
      <c r="C56" t="s">
        <v>2493</v>
      </c>
      <c r="D56" t="s">
        <v>2215</v>
      </c>
      <c r="E56" t="s">
        <v>1935</v>
      </c>
      <c r="F56" t="s">
        <v>2768</v>
      </c>
      <c r="G56" t="s">
        <v>1098</v>
      </c>
      <c r="H56" t="s">
        <v>3108</v>
      </c>
      <c r="I56" t="s">
        <v>3109</v>
      </c>
      <c r="J56" t="s">
        <v>3459</v>
      </c>
      <c r="K56" s="6" t="s">
        <v>3522</v>
      </c>
      <c r="L56" s="5" t="s">
        <v>3522</v>
      </c>
      <c r="M56" t="s">
        <v>1378</v>
      </c>
      <c r="N56" t="s">
        <v>1378</v>
      </c>
      <c r="O56" t="s">
        <v>16</v>
      </c>
      <c r="P56" t="s">
        <v>79</v>
      </c>
      <c r="Q56">
        <v>626</v>
      </c>
      <c r="R56" t="s">
        <v>495</v>
      </c>
      <c r="S56" s="4">
        <v>3549346936218090</v>
      </c>
      <c r="T56" t="s">
        <v>18</v>
      </c>
      <c r="U56" s="1">
        <v>6563.09</v>
      </c>
      <c r="V56" s="1" t="s">
        <v>660</v>
      </c>
      <c r="W56" s="1" t="s">
        <v>1033</v>
      </c>
      <c r="X56" t="str">
        <f>IF(V56="","",VLOOKUP(V56,WMI!A:C,2,FALSE))</f>
        <v>Germany</v>
      </c>
      <c r="Y56" t="str">
        <f>IF(V56="","",VLOOKUP(V56,WMI!A:C,3,FALSE))</f>
        <v>Audi</v>
      </c>
      <c r="Z56">
        <f>IF(W56="","",VLOOKUP(W56,year!A:B,2,FALSE))</f>
        <v>2011</v>
      </c>
    </row>
    <row r="57" spans="1:26" x14ac:dyDescent="0.25">
      <c r="A57">
        <v>849</v>
      </c>
      <c r="B57" t="s">
        <v>1657</v>
      </c>
      <c r="C57" t="s">
        <v>2494</v>
      </c>
      <c r="D57" t="s">
        <v>2216</v>
      </c>
      <c r="E57" t="s">
        <v>1936</v>
      </c>
      <c r="F57" t="s">
        <v>2769</v>
      </c>
      <c r="G57" t="s">
        <v>1099</v>
      </c>
      <c r="H57" t="s">
        <v>3110</v>
      </c>
      <c r="I57" t="s">
        <v>3111</v>
      </c>
      <c r="J57" t="s">
        <v>3439</v>
      </c>
      <c r="K57" s="6" t="s">
        <v>3523</v>
      </c>
      <c r="L57" s="5" t="s">
        <v>3523</v>
      </c>
      <c r="M57" t="s">
        <v>1379</v>
      </c>
      <c r="N57" t="s">
        <v>1379</v>
      </c>
      <c r="O57" t="s">
        <v>16</v>
      </c>
      <c r="P57" t="s">
        <v>27</v>
      </c>
      <c r="Q57" t="s">
        <v>388</v>
      </c>
      <c r="R57" t="s">
        <v>519</v>
      </c>
      <c r="S57" s="4">
        <v>201798153224569</v>
      </c>
      <c r="T57" t="s">
        <v>28</v>
      </c>
      <c r="U57" s="1">
        <v>7162.72</v>
      </c>
      <c r="V57" s="1" t="s">
        <v>660</v>
      </c>
      <c r="W57" s="1" t="s">
        <v>1033</v>
      </c>
      <c r="X57" t="str">
        <f>IF(V57="","",VLOOKUP(V57,WMI!A:C,2,FALSE))</f>
        <v>Germany</v>
      </c>
      <c r="Y57" t="str">
        <f>IF(V57="","",VLOOKUP(V57,WMI!A:C,3,FALSE))</f>
        <v>Audi</v>
      </c>
      <c r="Z57">
        <f>IF(W57="","",VLOOKUP(W57,year!A:B,2,FALSE))</f>
        <v>2011</v>
      </c>
    </row>
    <row r="58" spans="1:26" x14ac:dyDescent="0.25">
      <c r="A58">
        <v>887</v>
      </c>
      <c r="B58" t="s">
        <v>1658</v>
      </c>
      <c r="C58" t="s">
        <v>2495</v>
      </c>
      <c r="D58" t="s">
        <v>2217</v>
      </c>
      <c r="E58" t="s">
        <v>1937</v>
      </c>
      <c r="F58" t="s">
        <v>2770</v>
      </c>
      <c r="G58" t="s">
        <v>1100</v>
      </c>
      <c r="H58" t="s">
        <v>3112</v>
      </c>
      <c r="I58" t="s">
        <v>3113</v>
      </c>
      <c r="J58" t="s">
        <v>3436</v>
      </c>
      <c r="K58" s="6" t="s">
        <v>3524</v>
      </c>
      <c r="L58" s="5" t="s">
        <v>3524</v>
      </c>
      <c r="M58" t="s">
        <v>1380</v>
      </c>
      <c r="N58" t="s">
        <v>1380</v>
      </c>
      <c r="O58" t="s">
        <v>16</v>
      </c>
      <c r="P58" t="s">
        <v>79</v>
      </c>
      <c r="Q58" t="s">
        <v>533</v>
      </c>
      <c r="R58" t="s">
        <v>534</v>
      </c>
      <c r="S58" s="4">
        <v>3535113056251370</v>
      </c>
      <c r="T58" t="s">
        <v>18</v>
      </c>
      <c r="U58" s="1">
        <v>9171.81</v>
      </c>
      <c r="V58" s="1" t="s">
        <v>660</v>
      </c>
      <c r="W58" s="1" t="s">
        <v>1033</v>
      </c>
      <c r="X58" t="str">
        <f>IF(V58="","",VLOOKUP(V58,WMI!A:C,2,FALSE))</f>
        <v>Germany</v>
      </c>
      <c r="Y58" t="str">
        <f>IF(V58="","",VLOOKUP(V58,WMI!A:C,3,FALSE))</f>
        <v>Audi</v>
      </c>
      <c r="Z58">
        <f>IF(W58="","",VLOOKUP(W58,year!A:B,2,FALSE))</f>
        <v>2011</v>
      </c>
    </row>
    <row r="59" spans="1:26" x14ac:dyDescent="0.25">
      <c r="A59">
        <v>900</v>
      </c>
      <c r="B59" t="s">
        <v>1659</v>
      </c>
      <c r="C59" t="s">
        <v>2496</v>
      </c>
      <c r="D59" t="s">
        <v>2218</v>
      </c>
      <c r="E59" t="s">
        <v>1938</v>
      </c>
      <c r="F59" t="s">
        <v>2771</v>
      </c>
      <c r="G59" t="s">
        <v>1101</v>
      </c>
      <c r="H59" t="s">
        <v>3114</v>
      </c>
      <c r="I59" t="s">
        <v>3070</v>
      </c>
      <c r="J59" t="s">
        <v>3442</v>
      </c>
      <c r="K59" s="6" t="s">
        <v>3525</v>
      </c>
      <c r="L59" s="5" t="s">
        <v>3525</v>
      </c>
      <c r="M59" t="s">
        <v>1381</v>
      </c>
      <c r="N59" t="s">
        <v>1381</v>
      </c>
      <c r="O59" t="s">
        <v>16</v>
      </c>
      <c r="P59" t="s">
        <v>53</v>
      </c>
      <c r="Q59" t="s">
        <v>54</v>
      </c>
      <c r="R59" t="s">
        <v>542</v>
      </c>
      <c r="S59" s="4">
        <v>3532287125751970</v>
      </c>
      <c r="T59" t="s">
        <v>18</v>
      </c>
      <c r="U59" s="1">
        <v>7625.59</v>
      </c>
      <c r="V59" s="1" t="s">
        <v>660</v>
      </c>
      <c r="W59" s="1" t="s">
        <v>1033</v>
      </c>
      <c r="X59" t="str">
        <f>IF(V59="","",VLOOKUP(V59,WMI!A:C,2,FALSE))</f>
        <v>Germany</v>
      </c>
      <c r="Y59" t="str">
        <f>IF(V59="","",VLOOKUP(V59,WMI!A:C,3,FALSE))</f>
        <v>Audi</v>
      </c>
      <c r="Z59">
        <f>IF(W59="","",VLOOKUP(W59,year!A:B,2,FALSE))</f>
        <v>2011</v>
      </c>
    </row>
    <row r="60" spans="1:26" x14ac:dyDescent="0.25">
      <c r="A60">
        <v>964</v>
      </c>
      <c r="B60" t="s">
        <v>1660</v>
      </c>
      <c r="C60" t="s">
        <v>2497</v>
      </c>
      <c r="D60" t="s">
        <v>2219</v>
      </c>
      <c r="E60" t="s">
        <v>1939</v>
      </c>
      <c r="F60" t="s">
        <v>2772</v>
      </c>
      <c r="G60" t="s">
        <v>1102</v>
      </c>
      <c r="H60" t="s">
        <v>3115</v>
      </c>
      <c r="I60" t="s">
        <v>208</v>
      </c>
      <c r="J60" t="s">
        <v>3449</v>
      </c>
      <c r="K60" s="6" t="s">
        <v>3526</v>
      </c>
      <c r="L60" s="5" t="s">
        <v>3526</v>
      </c>
      <c r="M60" t="s">
        <v>1382</v>
      </c>
      <c r="N60" t="s">
        <v>1382</v>
      </c>
      <c r="O60" t="s">
        <v>19</v>
      </c>
      <c r="P60" t="s">
        <v>24</v>
      </c>
      <c r="Q60" t="s">
        <v>566</v>
      </c>
      <c r="R60" t="s">
        <v>567</v>
      </c>
      <c r="S60" s="4">
        <v>3574021419788700</v>
      </c>
      <c r="T60" t="s">
        <v>18</v>
      </c>
      <c r="U60" s="1">
        <v>8383.8700000000008</v>
      </c>
      <c r="V60" s="1" t="s">
        <v>660</v>
      </c>
      <c r="W60" s="1" t="s">
        <v>1033</v>
      </c>
      <c r="X60" t="str">
        <f>IF(V60="","",VLOOKUP(V60,WMI!A:C,2,FALSE))</f>
        <v>Germany</v>
      </c>
      <c r="Y60" t="str">
        <f>IF(V60="","",VLOOKUP(V60,WMI!A:C,3,FALSE))</f>
        <v>Audi</v>
      </c>
      <c r="Z60">
        <f>IF(W60="","",VLOOKUP(W60,year!A:B,2,FALSE))</f>
        <v>2011</v>
      </c>
    </row>
    <row r="61" spans="1:26" x14ac:dyDescent="0.25">
      <c r="A61">
        <v>978</v>
      </c>
      <c r="B61" t="s">
        <v>1661</v>
      </c>
      <c r="C61" t="s">
        <v>2498</v>
      </c>
      <c r="D61" t="s">
        <v>2220</v>
      </c>
      <c r="E61" t="s">
        <v>1940</v>
      </c>
      <c r="F61" t="s">
        <v>2773</v>
      </c>
      <c r="G61" t="s">
        <v>1103</v>
      </c>
      <c r="H61" t="s">
        <v>3116</v>
      </c>
      <c r="I61" t="s">
        <v>3117</v>
      </c>
      <c r="J61" t="s">
        <v>3446</v>
      </c>
      <c r="K61" s="6" t="s">
        <v>3527</v>
      </c>
      <c r="L61" s="5" t="s">
        <v>3527</v>
      </c>
      <c r="M61" t="s">
        <v>1383</v>
      </c>
      <c r="N61" t="s">
        <v>1383</v>
      </c>
      <c r="O61" t="s">
        <v>19</v>
      </c>
      <c r="P61" t="s">
        <v>107</v>
      </c>
      <c r="Q61" t="s">
        <v>200</v>
      </c>
      <c r="R61" t="s">
        <v>570</v>
      </c>
      <c r="S61" s="4">
        <v>3561440007146500</v>
      </c>
      <c r="T61" t="s">
        <v>18</v>
      </c>
      <c r="U61" s="1">
        <v>6036.82</v>
      </c>
      <c r="V61" s="1" t="s">
        <v>660</v>
      </c>
      <c r="W61" s="1" t="s">
        <v>1033</v>
      </c>
      <c r="X61" t="str">
        <f>IF(V61="","",VLOOKUP(V61,WMI!A:C,2,FALSE))</f>
        <v>Germany</v>
      </c>
      <c r="Y61" t="str">
        <f>IF(V61="","",VLOOKUP(V61,WMI!A:C,3,FALSE))</f>
        <v>Audi</v>
      </c>
      <c r="Z61">
        <f>IF(W61="","",VLOOKUP(W61,year!A:B,2,FALSE))</f>
        <v>2011</v>
      </c>
    </row>
    <row r="62" spans="1:26" x14ac:dyDescent="0.25">
      <c r="A62">
        <v>558</v>
      </c>
      <c r="B62" t="s">
        <v>1662</v>
      </c>
      <c r="C62" t="s">
        <v>2499</v>
      </c>
      <c r="D62" t="s">
        <v>2221</v>
      </c>
      <c r="E62" t="s">
        <v>1941</v>
      </c>
      <c r="F62" t="s">
        <v>2774</v>
      </c>
      <c r="G62" t="s">
        <v>1104</v>
      </c>
      <c r="H62" t="s">
        <v>3118</v>
      </c>
      <c r="I62" t="s">
        <v>3119</v>
      </c>
      <c r="J62" t="s">
        <v>2993</v>
      </c>
      <c r="K62" s="6" t="s">
        <v>3528</v>
      </c>
      <c r="L62" s="5" t="s">
        <v>3528</v>
      </c>
      <c r="M62" t="s">
        <v>1384</v>
      </c>
      <c r="N62" t="s">
        <v>1384</v>
      </c>
      <c r="O62" t="s">
        <v>16</v>
      </c>
      <c r="P62" t="s">
        <v>59</v>
      </c>
      <c r="Q62" t="s">
        <v>272</v>
      </c>
      <c r="R62" t="s">
        <v>395</v>
      </c>
      <c r="S62" s="4">
        <v>5432807185968670</v>
      </c>
      <c r="T62" t="s">
        <v>229</v>
      </c>
      <c r="U62" s="1">
        <v>8646.83</v>
      </c>
      <c r="V62" s="1" t="s">
        <v>679</v>
      </c>
      <c r="W62" s="1" t="s">
        <v>1033</v>
      </c>
      <c r="X62" t="str">
        <f>IF(V62="","",VLOOKUP(V62,WMI!A:C,2,FALSE))</f>
        <v>Germany</v>
      </c>
      <c r="Y62" t="str">
        <f>IF(V62="","",VLOOKUP(V62,WMI!A:C,3,FALSE))</f>
        <v>Quattro</v>
      </c>
      <c r="Z62">
        <f>IF(W62="","",VLOOKUP(W62,year!A:B,2,FALSE))</f>
        <v>2011</v>
      </c>
    </row>
    <row r="63" spans="1:26" x14ac:dyDescent="0.25">
      <c r="A63">
        <v>355</v>
      </c>
      <c r="B63" t="s">
        <v>1663</v>
      </c>
      <c r="C63" t="s">
        <v>2500</v>
      </c>
      <c r="D63" t="s">
        <v>2222</v>
      </c>
      <c r="E63" t="s">
        <v>1942</v>
      </c>
      <c r="F63" t="s">
        <v>2775</v>
      </c>
      <c r="G63" t="s">
        <v>1105</v>
      </c>
      <c r="H63" t="s">
        <v>3120</v>
      </c>
      <c r="I63" t="s">
        <v>3121</v>
      </c>
      <c r="J63" t="s">
        <v>3460</v>
      </c>
      <c r="K63" s="6" t="s">
        <v>3529</v>
      </c>
      <c r="L63" s="5" t="s">
        <v>3529</v>
      </c>
      <c r="M63" t="s">
        <v>1385</v>
      </c>
      <c r="N63" t="s">
        <v>1385</v>
      </c>
      <c r="O63" t="s">
        <v>16</v>
      </c>
      <c r="P63" t="s">
        <v>68</v>
      </c>
      <c r="Q63" t="s">
        <v>187</v>
      </c>
      <c r="R63" t="s">
        <v>300</v>
      </c>
      <c r="S63" s="4">
        <v>3548932915979840</v>
      </c>
      <c r="T63" t="s">
        <v>18</v>
      </c>
      <c r="U63" s="1">
        <v>7801.16</v>
      </c>
      <c r="V63" s="1" t="s">
        <v>661</v>
      </c>
      <c r="W63" s="1" t="s">
        <v>1033</v>
      </c>
      <c r="X63" t="str">
        <f>IF(V63="","",VLOOKUP(V63,WMI!A:C,2,FALSE))</f>
        <v>Germany</v>
      </c>
      <c r="Y63" t="str">
        <f>IF(V63="","",VLOOKUP(V63,WMI!A:C,3,FALSE))</f>
        <v>BMW</v>
      </c>
      <c r="Z63">
        <f>IF(W63="","",VLOOKUP(W63,year!A:B,2,FALSE))</f>
        <v>2011</v>
      </c>
    </row>
    <row r="64" spans="1:26" x14ac:dyDescent="0.25">
      <c r="A64">
        <v>519</v>
      </c>
      <c r="B64" t="s">
        <v>1664</v>
      </c>
      <c r="C64" t="s">
        <v>2501</v>
      </c>
      <c r="D64" t="s">
        <v>2223</v>
      </c>
      <c r="E64" t="s">
        <v>1943</v>
      </c>
      <c r="F64" t="s">
        <v>2776</v>
      </c>
      <c r="G64" t="s">
        <v>1106</v>
      </c>
      <c r="H64" t="s">
        <v>3122</v>
      </c>
      <c r="I64" t="s">
        <v>3123</v>
      </c>
      <c r="J64" t="s">
        <v>3458</v>
      </c>
      <c r="K64" s="6" t="s">
        <v>3530</v>
      </c>
      <c r="L64" s="5" t="s">
        <v>3530</v>
      </c>
      <c r="M64" t="s">
        <v>1386</v>
      </c>
      <c r="N64" t="s">
        <v>1386</v>
      </c>
      <c r="O64" t="s">
        <v>19</v>
      </c>
      <c r="P64" t="s">
        <v>107</v>
      </c>
      <c r="Q64" t="s">
        <v>200</v>
      </c>
      <c r="R64" t="s">
        <v>380</v>
      </c>
      <c r="S64" s="4">
        <v>4017959720749</v>
      </c>
      <c r="T64" t="s">
        <v>119</v>
      </c>
      <c r="U64" s="1">
        <v>7070.89</v>
      </c>
      <c r="V64" s="1" t="s">
        <v>661</v>
      </c>
      <c r="W64" s="1" t="s">
        <v>1033</v>
      </c>
      <c r="X64" t="str">
        <f>IF(V64="","",VLOOKUP(V64,WMI!A:C,2,FALSE))</f>
        <v>Germany</v>
      </c>
      <c r="Y64" t="str">
        <f>IF(V64="","",VLOOKUP(V64,WMI!A:C,3,FALSE))</f>
        <v>BMW</v>
      </c>
      <c r="Z64">
        <f>IF(W64="","",VLOOKUP(W64,year!A:B,2,FALSE))</f>
        <v>2011</v>
      </c>
    </row>
    <row r="65" spans="1:26" x14ac:dyDescent="0.25">
      <c r="A65">
        <v>522</v>
      </c>
      <c r="B65" t="s">
        <v>1665</v>
      </c>
      <c r="C65" t="s">
        <v>2502</v>
      </c>
      <c r="D65" t="s">
        <v>2224</v>
      </c>
      <c r="E65" t="s">
        <v>1944</v>
      </c>
      <c r="F65" t="s">
        <v>2777</v>
      </c>
      <c r="G65" t="s">
        <v>1107</v>
      </c>
      <c r="H65" t="s">
        <v>3124</v>
      </c>
      <c r="I65" t="s">
        <v>3125</v>
      </c>
      <c r="J65" t="s">
        <v>3459</v>
      </c>
      <c r="K65" s="6" t="s">
        <v>3531</v>
      </c>
      <c r="L65" s="5" t="s">
        <v>3531</v>
      </c>
      <c r="M65" t="s">
        <v>1387</v>
      </c>
      <c r="N65" t="s">
        <v>1387</v>
      </c>
      <c r="O65" t="s">
        <v>16</v>
      </c>
      <c r="P65" t="s">
        <v>97</v>
      </c>
      <c r="Q65" t="s">
        <v>381</v>
      </c>
      <c r="R65" t="s">
        <v>382</v>
      </c>
      <c r="S65" s="4">
        <v>3563107661209350</v>
      </c>
      <c r="T65" t="s">
        <v>18</v>
      </c>
      <c r="U65" s="1">
        <v>8954.64</v>
      </c>
      <c r="V65" s="1" t="s">
        <v>661</v>
      </c>
      <c r="W65" s="1" t="s">
        <v>1033</v>
      </c>
      <c r="X65" t="str">
        <f>IF(V65="","",VLOOKUP(V65,WMI!A:C,2,FALSE))</f>
        <v>Germany</v>
      </c>
      <c r="Y65" t="str">
        <f>IF(V65="","",VLOOKUP(V65,WMI!A:C,3,FALSE))</f>
        <v>BMW</v>
      </c>
      <c r="Z65">
        <f>IF(W65="","",VLOOKUP(W65,year!A:B,2,FALSE))</f>
        <v>2011</v>
      </c>
    </row>
    <row r="66" spans="1:26" x14ac:dyDescent="0.25">
      <c r="A66">
        <v>583</v>
      </c>
      <c r="B66" t="s">
        <v>1666</v>
      </c>
      <c r="C66" t="s">
        <v>2503</v>
      </c>
      <c r="D66" t="s">
        <v>2225</v>
      </c>
      <c r="E66" t="s">
        <v>1945</v>
      </c>
      <c r="F66" t="s">
        <v>2778</v>
      </c>
      <c r="G66" t="s">
        <v>1108</v>
      </c>
      <c r="H66" t="s">
        <v>3126</v>
      </c>
      <c r="I66" t="s">
        <v>3004</v>
      </c>
      <c r="J66" t="s">
        <v>3457</v>
      </c>
      <c r="K66" s="6" t="s">
        <v>3532</v>
      </c>
      <c r="L66" s="5" t="s">
        <v>3532</v>
      </c>
      <c r="M66" t="s">
        <v>1388</v>
      </c>
      <c r="N66" t="s">
        <v>1388</v>
      </c>
      <c r="O66" t="s">
        <v>16</v>
      </c>
      <c r="P66" t="s">
        <v>100</v>
      </c>
      <c r="Q66" t="s">
        <v>163</v>
      </c>
      <c r="R66" t="s">
        <v>407</v>
      </c>
      <c r="S66" s="4">
        <v>4917851562730410</v>
      </c>
      <c r="T66" t="s">
        <v>26</v>
      </c>
      <c r="U66" s="1">
        <v>8274.7999999999993</v>
      </c>
      <c r="V66" s="1" t="s">
        <v>661</v>
      </c>
      <c r="W66" s="1" t="s">
        <v>1033</v>
      </c>
      <c r="X66" t="str">
        <f>IF(V66="","",VLOOKUP(V66,WMI!A:C,2,FALSE))</f>
        <v>Germany</v>
      </c>
      <c r="Y66" t="str">
        <f>IF(V66="","",VLOOKUP(V66,WMI!A:C,3,FALSE))</f>
        <v>BMW</v>
      </c>
      <c r="Z66">
        <f>IF(W66="","",VLOOKUP(W66,year!A:B,2,FALSE))</f>
        <v>2011</v>
      </c>
    </row>
    <row r="67" spans="1:26" x14ac:dyDescent="0.25">
      <c r="A67">
        <v>740</v>
      </c>
      <c r="B67" t="s">
        <v>1667</v>
      </c>
      <c r="C67" t="s">
        <v>2504</v>
      </c>
      <c r="D67" t="s">
        <v>2226</v>
      </c>
      <c r="E67" t="s">
        <v>1946</v>
      </c>
      <c r="F67" t="s">
        <v>2779</v>
      </c>
      <c r="G67" t="s">
        <v>1109</v>
      </c>
      <c r="H67" t="s">
        <v>3127</v>
      </c>
      <c r="I67" t="s">
        <v>3043</v>
      </c>
      <c r="J67" t="s">
        <v>2994</v>
      </c>
      <c r="K67" s="6" t="s">
        <v>3533</v>
      </c>
      <c r="L67" s="5" t="s">
        <v>3533</v>
      </c>
      <c r="M67" t="s">
        <v>1389</v>
      </c>
      <c r="N67" t="s">
        <v>1389</v>
      </c>
      <c r="O67" t="s">
        <v>19</v>
      </c>
      <c r="P67" t="s">
        <v>69</v>
      </c>
      <c r="Q67" t="s">
        <v>302</v>
      </c>
      <c r="R67" t="s">
        <v>476</v>
      </c>
      <c r="S67" s="4">
        <v>3582269542973020</v>
      </c>
      <c r="T67" t="s">
        <v>18</v>
      </c>
      <c r="U67" s="1">
        <v>6341.35</v>
      </c>
      <c r="V67" s="1" t="s">
        <v>661</v>
      </c>
      <c r="W67" s="1" t="s">
        <v>1033</v>
      </c>
      <c r="X67" t="str">
        <f>IF(V67="","",VLOOKUP(V67,WMI!A:C,2,FALSE))</f>
        <v>Germany</v>
      </c>
      <c r="Y67" t="str">
        <f>IF(V67="","",VLOOKUP(V67,WMI!A:C,3,FALSE))</f>
        <v>BMW</v>
      </c>
      <c r="Z67">
        <f>IF(W67="","",VLOOKUP(W67,year!A:B,2,FALSE))</f>
        <v>2011</v>
      </c>
    </row>
    <row r="68" spans="1:26" x14ac:dyDescent="0.25">
      <c r="A68">
        <v>772</v>
      </c>
      <c r="B68" t="s">
        <v>1668</v>
      </c>
      <c r="C68" t="s">
        <v>2505</v>
      </c>
      <c r="D68" t="s">
        <v>2227</v>
      </c>
      <c r="E68" t="s">
        <v>1947</v>
      </c>
      <c r="F68" t="s">
        <v>2780</v>
      </c>
      <c r="G68" t="s">
        <v>1110</v>
      </c>
      <c r="H68" t="s">
        <v>3128</v>
      </c>
      <c r="I68" t="s">
        <v>3018</v>
      </c>
      <c r="J68" t="s">
        <v>3440</v>
      </c>
      <c r="K68" s="6" t="s">
        <v>3534</v>
      </c>
      <c r="L68" s="5" t="s">
        <v>3534</v>
      </c>
      <c r="M68" t="s">
        <v>1390</v>
      </c>
      <c r="N68" t="s">
        <v>1390</v>
      </c>
      <c r="O68" t="s">
        <v>19</v>
      </c>
      <c r="P68" t="s">
        <v>39</v>
      </c>
      <c r="Q68" t="s">
        <v>40</v>
      </c>
      <c r="R68" t="s">
        <v>488</v>
      </c>
      <c r="S68" s="4">
        <v>5048374162079430</v>
      </c>
      <c r="T68" t="s">
        <v>23</v>
      </c>
      <c r="U68" s="1">
        <v>6069.79</v>
      </c>
      <c r="V68" s="1" t="s">
        <v>661</v>
      </c>
      <c r="W68" s="1" t="s">
        <v>1033</v>
      </c>
      <c r="X68" t="str">
        <f>IF(V68="","",VLOOKUP(V68,WMI!A:C,2,FALSE))</f>
        <v>Germany</v>
      </c>
      <c r="Y68" t="str">
        <f>IF(V68="","",VLOOKUP(V68,WMI!A:C,3,FALSE))</f>
        <v>BMW</v>
      </c>
      <c r="Z68">
        <f>IF(W68="","",VLOOKUP(W68,year!A:B,2,FALSE))</f>
        <v>2011</v>
      </c>
    </row>
    <row r="69" spans="1:26" x14ac:dyDescent="0.25">
      <c r="A69">
        <v>809</v>
      </c>
      <c r="B69" t="s">
        <v>1669</v>
      </c>
      <c r="C69" t="s">
        <v>2506</v>
      </c>
      <c r="D69" t="s">
        <v>2228</v>
      </c>
      <c r="E69" t="s">
        <v>1948</v>
      </c>
      <c r="F69" t="s">
        <v>2781</v>
      </c>
      <c r="G69" t="s">
        <v>1111</v>
      </c>
      <c r="H69" t="s">
        <v>3129</v>
      </c>
      <c r="I69" t="s">
        <v>3130</v>
      </c>
      <c r="J69" t="s">
        <v>3004</v>
      </c>
      <c r="K69" s="6" t="s">
        <v>3535</v>
      </c>
      <c r="L69" s="5" t="s">
        <v>3535</v>
      </c>
      <c r="M69" t="s">
        <v>1391</v>
      </c>
      <c r="N69" t="s">
        <v>1391</v>
      </c>
      <c r="O69" t="s">
        <v>16</v>
      </c>
      <c r="P69" t="s">
        <v>107</v>
      </c>
      <c r="Q69" t="s">
        <v>227</v>
      </c>
      <c r="R69" t="s">
        <v>504</v>
      </c>
      <c r="S69" s="4">
        <v>3560019012317370</v>
      </c>
      <c r="T69" t="s">
        <v>18</v>
      </c>
      <c r="U69" s="1">
        <v>5138.0200000000004</v>
      </c>
      <c r="V69" s="1" t="s">
        <v>661</v>
      </c>
      <c r="W69" s="1" t="s">
        <v>1033</v>
      </c>
      <c r="X69" t="str">
        <f>IF(V69="","",VLOOKUP(V69,WMI!A:C,2,FALSE))</f>
        <v>Germany</v>
      </c>
      <c r="Y69" t="str">
        <f>IF(V69="","",VLOOKUP(V69,WMI!A:C,3,FALSE))</f>
        <v>BMW</v>
      </c>
      <c r="Z69">
        <f>IF(W69="","",VLOOKUP(W69,year!A:B,2,FALSE))</f>
        <v>2011</v>
      </c>
    </row>
    <row r="70" spans="1:26" x14ac:dyDescent="0.25">
      <c r="A70">
        <v>895</v>
      </c>
      <c r="B70" t="s">
        <v>1670</v>
      </c>
      <c r="C70" t="s">
        <v>2507</v>
      </c>
      <c r="D70" t="s">
        <v>2229</v>
      </c>
      <c r="E70" t="s">
        <v>1949</v>
      </c>
      <c r="F70" t="s">
        <v>2782</v>
      </c>
      <c r="G70" t="s">
        <v>1112</v>
      </c>
      <c r="H70" t="s">
        <v>3131</v>
      </c>
      <c r="I70" t="s">
        <v>104</v>
      </c>
      <c r="J70" t="s">
        <v>2993</v>
      </c>
      <c r="K70" s="6" t="s">
        <v>3536</v>
      </c>
      <c r="L70" s="5" t="s">
        <v>3536</v>
      </c>
      <c r="M70" t="s">
        <v>1392</v>
      </c>
      <c r="N70" t="s">
        <v>1392</v>
      </c>
      <c r="O70" t="s">
        <v>19</v>
      </c>
      <c r="P70" t="s">
        <v>405</v>
      </c>
      <c r="Q70" t="s">
        <v>539</v>
      </c>
      <c r="R70" t="s">
        <v>540</v>
      </c>
      <c r="S70" s="4">
        <v>3544877709173630</v>
      </c>
      <c r="T70" t="s">
        <v>18</v>
      </c>
      <c r="U70" s="1">
        <v>9684.01</v>
      </c>
      <c r="V70" s="1" t="s">
        <v>661</v>
      </c>
      <c r="W70" s="1" t="s">
        <v>1033</v>
      </c>
      <c r="X70" t="str">
        <f>IF(V70="","",VLOOKUP(V70,WMI!A:C,2,FALSE))</f>
        <v>Germany</v>
      </c>
      <c r="Y70" t="str">
        <f>IF(V70="","",VLOOKUP(V70,WMI!A:C,3,FALSE))</f>
        <v>BMW</v>
      </c>
      <c r="Z70">
        <f>IF(W70="","",VLOOKUP(W70,year!A:B,2,FALSE))</f>
        <v>2011</v>
      </c>
    </row>
    <row r="71" spans="1:26" x14ac:dyDescent="0.25">
      <c r="A71">
        <v>919</v>
      </c>
      <c r="B71" t="s">
        <v>1671</v>
      </c>
      <c r="C71" t="s">
        <v>2508</v>
      </c>
      <c r="D71" t="s">
        <v>2230</v>
      </c>
      <c r="E71" t="s">
        <v>1950</v>
      </c>
      <c r="F71" t="s">
        <v>2783</v>
      </c>
      <c r="G71" t="s">
        <v>1113</v>
      </c>
      <c r="H71" t="s">
        <v>3132</v>
      </c>
      <c r="I71" t="s">
        <v>3133</v>
      </c>
      <c r="J71" t="s">
        <v>3461</v>
      </c>
      <c r="K71" s="6" t="s">
        <v>3537</v>
      </c>
      <c r="L71" s="5" t="s">
        <v>3537</v>
      </c>
      <c r="M71" t="s">
        <v>1393</v>
      </c>
      <c r="N71" t="s">
        <v>1393</v>
      </c>
      <c r="O71" t="s">
        <v>19</v>
      </c>
      <c r="P71" t="s">
        <v>60</v>
      </c>
      <c r="Q71" t="s">
        <v>552</v>
      </c>
      <c r="R71" t="s">
        <v>553</v>
      </c>
      <c r="S71" s="4">
        <v>6.7712526627104704E+16</v>
      </c>
      <c r="T71" t="s">
        <v>41</v>
      </c>
      <c r="U71" s="1">
        <v>7738.55</v>
      </c>
      <c r="V71" s="1" t="s">
        <v>661</v>
      </c>
      <c r="W71" s="1" t="s">
        <v>1033</v>
      </c>
      <c r="X71" t="str">
        <f>IF(V71="","",VLOOKUP(V71,WMI!A:C,2,FALSE))</f>
        <v>Germany</v>
      </c>
      <c r="Y71" t="str">
        <f>IF(V71="","",VLOOKUP(V71,WMI!A:C,3,FALSE))</f>
        <v>BMW</v>
      </c>
      <c r="Z71">
        <f>IF(W71="","",VLOOKUP(W71,year!A:B,2,FALSE))</f>
        <v>2011</v>
      </c>
    </row>
    <row r="72" spans="1:26" x14ac:dyDescent="0.25">
      <c r="A72">
        <v>161</v>
      </c>
      <c r="B72" t="s">
        <v>1672</v>
      </c>
      <c r="C72" t="s">
        <v>2509</v>
      </c>
      <c r="D72" t="s">
        <v>2231</v>
      </c>
      <c r="E72" t="s">
        <v>1951</v>
      </c>
      <c r="F72" t="s">
        <v>2784</v>
      </c>
      <c r="G72" t="s">
        <v>1114</v>
      </c>
      <c r="H72" t="s">
        <v>3134</v>
      </c>
      <c r="I72" t="s">
        <v>3135</v>
      </c>
      <c r="J72" t="s">
        <v>3451</v>
      </c>
      <c r="K72" s="6" t="s">
        <v>3538</v>
      </c>
      <c r="L72" s="5" t="s">
        <v>3538</v>
      </c>
      <c r="M72" t="s">
        <v>1394</v>
      </c>
      <c r="N72" t="s">
        <v>1394</v>
      </c>
      <c r="O72" t="s">
        <v>16</v>
      </c>
      <c r="P72" t="s">
        <v>60</v>
      </c>
      <c r="Q72" t="s">
        <v>189</v>
      </c>
      <c r="R72" t="s">
        <v>190</v>
      </c>
      <c r="S72" s="4">
        <v>3589545345760830</v>
      </c>
      <c r="T72" t="s">
        <v>18</v>
      </c>
      <c r="U72" s="1">
        <v>6478.42</v>
      </c>
      <c r="V72" s="1" t="s">
        <v>666</v>
      </c>
      <c r="W72" s="1" t="s">
        <v>1033</v>
      </c>
      <c r="X72" t="str">
        <f>IF(V72="","",VLOOKUP(V72,WMI!A:C,2,FALSE))</f>
        <v>Germany</v>
      </c>
      <c r="Y72" t="str">
        <f>IF(V72="","",VLOOKUP(V72,WMI!A:C,3,FALSE))</f>
        <v>DaimlerChrysler AG/Daimler AG</v>
      </c>
      <c r="Z72">
        <f>IF(W72="","",VLOOKUP(W72,year!A:B,2,FALSE))</f>
        <v>2011</v>
      </c>
    </row>
    <row r="73" spans="1:26" x14ac:dyDescent="0.25">
      <c r="A73">
        <v>526</v>
      </c>
      <c r="B73" t="s">
        <v>1673</v>
      </c>
      <c r="C73" t="s">
        <v>2510</v>
      </c>
      <c r="D73" t="s">
        <v>2232</v>
      </c>
      <c r="E73" t="s">
        <v>1952</v>
      </c>
      <c r="F73" t="s">
        <v>2785</v>
      </c>
      <c r="G73" t="s">
        <v>1115</v>
      </c>
      <c r="H73" t="s">
        <v>3136</v>
      </c>
      <c r="I73" t="s">
        <v>3096</v>
      </c>
      <c r="J73" t="s">
        <v>2993</v>
      </c>
      <c r="K73" s="6" t="s">
        <v>3514</v>
      </c>
      <c r="L73" s="5" t="s">
        <v>3514</v>
      </c>
      <c r="M73" t="s">
        <v>1395</v>
      </c>
      <c r="N73" t="s">
        <v>1395</v>
      </c>
      <c r="O73" t="s">
        <v>16</v>
      </c>
      <c r="P73" t="s">
        <v>59</v>
      </c>
      <c r="Q73" t="s">
        <v>248</v>
      </c>
      <c r="R73" t="s">
        <v>384</v>
      </c>
      <c r="S73" s="4">
        <v>5100179007811580</v>
      </c>
      <c r="T73" t="s">
        <v>23</v>
      </c>
      <c r="U73" s="1">
        <v>5690.81</v>
      </c>
      <c r="V73" s="1" t="s">
        <v>664</v>
      </c>
      <c r="W73" s="1" t="s">
        <v>1033</v>
      </c>
      <c r="X73" t="str">
        <f>IF(V73="","",VLOOKUP(V73,WMI!A:C,2,FALSE))</f>
        <v>Germany</v>
      </c>
      <c r="Y73" t="str">
        <f>IF(V73="","",VLOOKUP(V73,WMI!A:C,3,FALSE))</f>
        <v>Mercedes-Benz</v>
      </c>
      <c r="Z73">
        <f>IF(W73="","",VLOOKUP(W73,year!A:B,2,FALSE))</f>
        <v>2011</v>
      </c>
    </row>
    <row r="74" spans="1:26" x14ac:dyDescent="0.25">
      <c r="A74">
        <v>273</v>
      </c>
      <c r="B74" t="s">
        <v>1674</v>
      </c>
      <c r="C74" t="s">
        <v>2511</v>
      </c>
      <c r="D74" t="s">
        <v>2233</v>
      </c>
      <c r="E74" t="s">
        <v>1953</v>
      </c>
      <c r="F74" t="s">
        <v>2786</v>
      </c>
      <c r="G74" t="s">
        <v>1116</v>
      </c>
      <c r="H74" t="s">
        <v>3137</v>
      </c>
      <c r="I74" t="s">
        <v>3138</v>
      </c>
      <c r="J74" t="s">
        <v>2993</v>
      </c>
      <c r="K74" s="6" t="s">
        <v>3539</v>
      </c>
      <c r="L74" s="5" t="s">
        <v>3539</v>
      </c>
      <c r="M74" t="s">
        <v>1396</v>
      </c>
      <c r="N74" t="s">
        <v>1396</v>
      </c>
      <c r="O74" t="s">
        <v>16</v>
      </c>
      <c r="P74" t="s">
        <v>83</v>
      </c>
      <c r="Q74" t="s">
        <v>268</v>
      </c>
      <c r="R74" t="s">
        <v>269</v>
      </c>
      <c r="S74" s="4">
        <v>373268922360807</v>
      </c>
      <c r="T74" t="s">
        <v>48</v>
      </c>
      <c r="U74" s="1">
        <v>5365.44</v>
      </c>
      <c r="V74" s="1" t="s">
        <v>675</v>
      </c>
      <c r="W74" s="1" t="s">
        <v>1033</v>
      </c>
      <c r="X74" t="str">
        <f>IF(V74="","",VLOOKUP(V74,WMI!A:C,2,FALSE))</f>
        <v>Germany</v>
      </c>
      <c r="Y74" t="str">
        <f>IF(V74="","",VLOOKUP(V74,WMI!A:C,3,FALSE))</f>
        <v>Porsche car</v>
      </c>
      <c r="Z74">
        <f>IF(W74="","",VLOOKUP(W74,year!A:B,2,FALSE))</f>
        <v>2011</v>
      </c>
    </row>
    <row r="75" spans="1:26" x14ac:dyDescent="0.25">
      <c r="A75">
        <v>21</v>
      </c>
      <c r="B75" t="s">
        <v>1675</v>
      </c>
      <c r="C75" t="s">
        <v>2512</v>
      </c>
      <c r="D75" t="s">
        <v>2234</v>
      </c>
      <c r="E75" t="s">
        <v>1954</v>
      </c>
      <c r="F75" t="s">
        <v>2787</v>
      </c>
      <c r="G75" t="s">
        <v>1117</v>
      </c>
      <c r="H75" t="s">
        <v>3139</v>
      </c>
      <c r="I75" t="s">
        <v>3070</v>
      </c>
      <c r="J75" t="s">
        <v>3442</v>
      </c>
      <c r="K75" s="6" t="s">
        <v>3540</v>
      </c>
      <c r="L75" s="5" t="s">
        <v>3540</v>
      </c>
      <c r="M75" t="s">
        <v>1397</v>
      </c>
      <c r="N75" t="s">
        <v>1397</v>
      </c>
      <c r="O75" t="s">
        <v>16</v>
      </c>
      <c r="P75" t="s">
        <v>39</v>
      </c>
      <c r="Q75" t="s">
        <v>57</v>
      </c>
      <c r="R75" t="s">
        <v>58</v>
      </c>
      <c r="S75" s="4">
        <v>3544286846893790</v>
      </c>
      <c r="T75" t="s">
        <v>18</v>
      </c>
      <c r="U75" s="1">
        <v>9226.7099999999991</v>
      </c>
      <c r="V75" s="1" t="s">
        <v>680</v>
      </c>
      <c r="W75" s="1" t="s">
        <v>1033</v>
      </c>
      <c r="X75" t="str">
        <f>IF(V75="","",VLOOKUP(V75,WMI!A:C,2,FALSE))</f>
        <v>Germany</v>
      </c>
      <c r="Y75" t="str">
        <f>IF(V75="","",VLOOKUP(V75,WMI!A:C,3,FALSE))</f>
        <v>Volkswagen</v>
      </c>
      <c r="Z75">
        <f>IF(W75="","",VLOOKUP(W75,year!A:B,2,FALSE))</f>
        <v>2011</v>
      </c>
    </row>
    <row r="76" spans="1:26" x14ac:dyDescent="0.25">
      <c r="A76">
        <v>422</v>
      </c>
      <c r="B76" t="s">
        <v>1676</v>
      </c>
      <c r="C76" t="s">
        <v>2513</v>
      </c>
      <c r="D76" t="s">
        <v>2235</v>
      </c>
      <c r="E76" t="s">
        <v>1955</v>
      </c>
      <c r="F76" t="s">
        <v>2788</v>
      </c>
      <c r="G76" t="s">
        <v>1118</v>
      </c>
      <c r="H76" t="s">
        <v>3140</v>
      </c>
      <c r="I76" t="s">
        <v>3141</v>
      </c>
      <c r="J76" t="s">
        <v>3462</v>
      </c>
      <c r="K76" s="6" t="s">
        <v>3541</v>
      </c>
      <c r="L76" s="5" t="s">
        <v>3541</v>
      </c>
      <c r="M76" t="s">
        <v>1398</v>
      </c>
      <c r="N76" t="s">
        <v>1398</v>
      </c>
      <c r="O76" t="s">
        <v>19</v>
      </c>
      <c r="P76" t="s">
        <v>69</v>
      </c>
      <c r="Q76" t="s">
        <v>331</v>
      </c>
      <c r="R76" t="s">
        <v>343</v>
      </c>
      <c r="S76" s="4">
        <v>3574910036597580</v>
      </c>
      <c r="T76" t="s">
        <v>18</v>
      </c>
      <c r="U76" s="1">
        <v>6645.29</v>
      </c>
      <c r="V76" s="1" t="s">
        <v>680</v>
      </c>
      <c r="W76" s="1" t="s">
        <v>1033</v>
      </c>
      <c r="X76" t="str">
        <f>IF(V76="","",VLOOKUP(V76,WMI!A:C,2,FALSE))</f>
        <v>Germany</v>
      </c>
      <c r="Y76" t="str">
        <f>IF(V76="","",VLOOKUP(V76,WMI!A:C,3,FALSE))</f>
        <v>Volkswagen</v>
      </c>
      <c r="Z76">
        <f>IF(W76="","",VLOOKUP(W76,year!A:B,2,FALSE))</f>
        <v>2011</v>
      </c>
    </row>
    <row r="77" spans="1:26" x14ac:dyDescent="0.25">
      <c r="A77">
        <v>497</v>
      </c>
      <c r="B77" t="s">
        <v>1677</v>
      </c>
      <c r="C77" t="s">
        <v>2514</v>
      </c>
      <c r="D77" t="s">
        <v>2236</v>
      </c>
      <c r="E77" t="s">
        <v>1956</v>
      </c>
      <c r="F77" t="s">
        <v>2789</v>
      </c>
      <c r="G77" t="s">
        <v>1119</v>
      </c>
      <c r="H77" t="s">
        <v>3142</v>
      </c>
      <c r="I77" t="s">
        <v>3143</v>
      </c>
      <c r="J77" t="s">
        <v>3002</v>
      </c>
      <c r="K77" s="6" t="s">
        <v>3542</v>
      </c>
      <c r="L77" s="5" t="s">
        <v>3542</v>
      </c>
      <c r="M77" t="s">
        <v>1399</v>
      </c>
      <c r="N77" t="s">
        <v>1399</v>
      </c>
      <c r="O77" t="s">
        <v>19</v>
      </c>
      <c r="P77" t="s">
        <v>39</v>
      </c>
      <c r="Q77" t="s">
        <v>57</v>
      </c>
      <c r="R77" t="s">
        <v>369</v>
      </c>
      <c r="S77" s="4">
        <v>6.77151008107132E+16</v>
      </c>
      <c r="T77" t="s">
        <v>41</v>
      </c>
      <c r="U77" s="1">
        <v>7158.44</v>
      </c>
      <c r="V77" s="1" t="s">
        <v>585</v>
      </c>
      <c r="W77" s="1" t="s">
        <v>1033</v>
      </c>
      <c r="X77" t="str">
        <f>IF(V77="","",VLOOKUP(V77,WMI!A:C,2,FALSE))</f>
        <v>Japan</v>
      </c>
      <c r="Y77" t="str">
        <f>IF(V77="","",VLOOKUP(V77,WMI!A:C,3,FALSE))</f>
        <v>Mazda</v>
      </c>
      <c r="Z77">
        <f>IF(W77="","",VLOOKUP(W77,year!A:B,2,FALSE))</f>
        <v>2011</v>
      </c>
    </row>
    <row r="78" spans="1:26" x14ac:dyDescent="0.25">
      <c r="A78">
        <v>589</v>
      </c>
      <c r="B78" t="s">
        <v>1678</v>
      </c>
      <c r="C78" t="s">
        <v>2515</v>
      </c>
      <c r="D78" t="s">
        <v>2237</v>
      </c>
      <c r="E78" t="s">
        <v>1957</v>
      </c>
      <c r="F78" t="s">
        <v>2790</v>
      </c>
      <c r="G78" t="s">
        <v>1120</v>
      </c>
      <c r="H78" t="s">
        <v>3144</v>
      </c>
      <c r="I78" t="s">
        <v>2998</v>
      </c>
      <c r="J78" t="s">
        <v>3445</v>
      </c>
      <c r="K78" s="6" t="s">
        <v>3543</v>
      </c>
      <c r="L78" s="5" t="s">
        <v>3543</v>
      </c>
      <c r="M78" t="s">
        <v>1400</v>
      </c>
      <c r="N78" t="s">
        <v>1400</v>
      </c>
      <c r="O78" t="s">
        <v>19</v>
      </c>
      <c r="P78" t="s">
        <v>39</v>
      </c>
      <c r="Q78" t="s">
        <v>411</v>
      </c>
      <c r="R78" t="s">
        <v>412</v>
      </c>
      <c r="S78" s="4">
        <v>5602246780145390</v>
      </c>
      <c r="T78" t="s">
        <v>93</v>
      </c>
      <c r="U78" s="1">
        <v>6496.76</v>
      </c>
      <c r="V78" s="1" t="s">
        <v>585</v>
      </c>
      <c r="W78" s="1" t="s">
        <v>1033</v>
      </c>
      <c r="X78" t="str">
        <f>IF(V78="","",VLOOKUP(V78,WMI!A:C,2,FALSE))</f>
        <v>Japan</v>
      </c>
      <c r="Y78" t="str">
        <f>IF(V78="","",VLOOKUP(V78,WMI!A:C,3,FALSE))</f>
        <v>Mazda</v>
      </c>
      <c r="Z78">
        <f>IF(W78="","",VLOOKUP(W78,year!A:B,2,FALSE))</f>
        <v>2011</v>
      </c>
    </row>
    <row r="79" spans="1:26" x14ac:dyDescent="0.25">
      <c r="A79">
        <v>394</v>
      </c>
      <c r="B79" t="s">
        <v>1679</v>
      </c>
      <c r="C79" t="s">
        <v>2516</v>
      </c>
      <c r="D79" t="s">
        <v>2238</v>
      </c>
      <c r="E79" t="s">
        <v>1958</v>
      </c>
      <c r="F79" t="s">
        <v>2791</v>
      </c>
      <c r="G79" t="s">
        <v>1121</v>
      </c>
      <c r="H79" t="s">
        <v>3145</v>
      </c>
      <c r="I79" t="s">
        <v>3146</v>
      </c>
      <c r="J79" t="s">
        <v>2993</v>
      </c>
      <c r="K79" s="6" t="s">
        <v>3544</v>
      </c>
      <c r="L79" s="5" t="s">
        <v>3544</v>
      </c>
      <c r="M79" t="s">
        <v>1401</v>
      </c>
      <c r="N79" t="s">
        <v>1401</v>
      </c>
      <c r="O79" t="s">
        <v>19</v>
      </c>
      <c r="P79" t="s">
        <v>51</v>
      </c>
      <c r="Q79" t="s">
        <v>96</v>
      </c>
      <c r="R79" t="s">
        <v>322</v>
      </c>
      <c r="S79" s="4">
        <v>30273766828997</v>
      </c>
      <c r="T79" t="s">
        <v>46</v>
      </c>
      <c r="U79" s="1">
        <v>7353.42</v>
      </c>
      <c r="V79" s="1" t="s">
        <v>781</v>
      </c>
      <c r="W79" s="1" t="s">
        <v>1033</v>
      </c>
      <c r="X79" t="str">
        <f>IF(V79="","",VLOOKUP(V79,WMI!A:C,2,FALSE))</f>
        <v>South Korea</v>
      </c>
      <c r="Y79" t="str">
        <f>IF(V79="","",VLOOKUP(V79,WMI!A:C,3,FALSE))</f>
        <v>Hyundai</v>
      </c>
      <c r="Z79">
        <f>IF(W79="","",VLOOKUP(W79,year!A:B,2,FALSE))</f>
        <v>2011</v>
      </c>
    </row>
    <row r="80" spans="1:26" x14ac:dyDescent="0.25">
      <c r="A80">
        <v>710</v>
      </c>
      <c r="B80" t="s">
        <v>1680</v>
      </c>
      <c r="C80" t="s">
        <v>2517</v>
      </c>
      <c r="D80" t="s">
        <v>2239</v>
      </c>
      <c r="E80" t="s">
        <v>1959</v>
      </c>
      <c r="F80" t="s">
        <v>2792</v>
      </c>
      <c r="G80" t="s">
        <v>1122</v>
      </c>
      <c r="H80" t="s">
        <v>3147</v>
      </c>
      <c r="I80" t="s">
        <v>3148</v>
      </c>
      <c r="J80" t="s">
        <v>2993</v>
      </c>
      <c r="K80" s="6" t="s">
        <v>3545</v>
      </c>
      <c r="L80" s="5" t="s">
        <v>3545</v>
      </c>
      <c r="M80" t="s">
        <v>1402</v>
      </c>
      <c r="N80" t="s">
        <v>1402</v>
      </c>
      <c r="O80" t="s">
        <v>19</v>
      </c>
      <c r="P80" t="s">
        <v>60</v>
      </c>
      <c r="Q80" t="s">
        <v>465</v>
      </c>
      <c r="R80" t="s">
        <v>466</v>
      </c>
      <c r="S80" s="4">
        <v>4175002118951410</v>
      </c>
      <c r="T80" t="s">
        <v>26</v>
      </c>
      <c r="U80" s="1">
        <v>5202.53</v>
      </c>
      <c r="V80" s="1" t="s">
        <v>692</v>
      </c>
      <c r="W80" s="1" t="s">
        <v>1033</v>
      </c>
      <c r="X80" t="str">
        <f>IF(V80="","",VLOOKUP(V80,WMI!A:C,2,FALSE))</f>
        <v>Sweden</v>
      </c>
      <c r="Y80" t="str">
        <f>IF(V80="","",VLOOKUP(V80,WMI!A:C,3,FALSE))</f>
        <v>Volvo Cars</v>
      </c>
      <c r="Z80">
        <f>IF(W80="","",VLOOKUP(W80,year!A:B,2,FALSE))</f>
        <v>2011</v>
      </c>
    </row>
    <row r="81" spans="1:26" x14ac:dyDescent="0.25">
      <c r="A81">
        <v>109</v>
      </c>
      <c r="B81" t="s">
        <v>1681</v>
      </c>
      <c r="C81" t="s">
        <v>2518</v>
      </c>
      <c r="D81" t="s">
        <v>2240</v>
      </c>
      <c r="E81" t="s">
        <v>1960</v>
      </c>
      <c r="F81" t="s">
        <v>2793</v>
      </c>
      <c r="G81" t="s">
        <v>1123</v>
      </c>
      <c r="H81" t="s">
        <v>3149</v>
      </c>
      <c r="I81" t="s">
        <v>3150</v>
      </c>
      <c r="J81" t="s">
        <v>3439</v>
      </c>
      <c r="K81" s="6" t="s">
        <v>3546</v>
      </c>
      <c r="L81" s="5" t="s">
        <v>3546</v>
      </c>
      <c r="M81" t="s">
        <v>1403</v>
      </c>
      <c r="N81" t="s">
        <v>1403</v>
      </c>
      <c r="O81" t="s">
        <v>19</v>
      </c>
      <c r="P81" t="s">
        <v>120</v>
      </c>
      <c r="Q81" t="s">
        <v>143</v>
      </c>
      <c r="R81" t="s">
        <v>144</v>
      </c>
      <c r="S81" s="4">
        <v>4026562196714090</v>
      </c>
      <c r="T81" t="s">
        <v>26</v>
      </c>
      <c r="U81" s="1">
        <v>7693.05</v>
      </c>
      <c r="V81" s="1" t="s">
        <v>622</v>
      </c>
      <c r="W81" s="1" t="s">
        <v>1033</v>
      </c>
      <c r="X81" t="str">
        <f>IF(V81="","",VLOOKUP(V81,WMI!A:C,2,FALSE))</f>
        <v>United Kingdom</v>
      </c>
      <c r="Y81" t="str">
        <f>IF(V81="","",VLOOKUP(V81,WMI!A:C,3,FALSE))</f>
        <v>Jaguar</v>
      </c>
      <c r="Z81">
        <f>IF(W81="","",VLOOKUP(W81,year!A:B,2,FALSE))</f>
        <v>2011</v>
      </c>
    </row>
    <row r="82" spans="1:26" x14ac:dyDescent="0.25">
      <c r="A82">
        <v>38</v>
      </c>
      <c r="B82" t="s">
        <v>1682</v>
      </c>
      <c r="C82" t="s">
        <v>2519</v>
      </c>
      <c r="D82" t="s">
        <v>2241</v>
      </c>
      <c r="E82" t="s">
        <v>1961</v>
      </c>
      <c r="F82" t="s">
        <v>2794</v>
      </c>
      <c r="G82" t="s">
        <v>1124</v>
      </c>
      <c r="H82" t="s">
        <v>3151</v>
      </c>
      <c r="I82" t="s">
        <v>3060</v>
      </c>
      <c r="J82" t="s">
        <v>3450</v>
      </c>
      <c r="K82" s="6" t="s">
        <v>3547</v>
      </c>
      <c r="L82" s="5" t="s">
        <v>3547</v>
      </c>
      <c r="M82" t="s">
        <v>1404</v>
      </c>
      <c r="N82" t="s">
        <v>1404</v>
      </c>
      <c r="O82" t="s">
        <v>16</v>
      </c>
      <c r="P82" t="s">
        <v>83</v>
      </c>
      <c r="Q82" t="s">
        <v>84</v>
      </c>
      <c r="R82" t="s">
        <v>85</v>
      </c>
      <c r="S82" s="4">
        <v>3537041219564640</v>
      </c>
      <c r="T82" t="s">
        <v>18</v>
      </c>
      <c r="U82" s="1">
        <v>7815.71</v>
      </c>
      <c r="V82" s="1" t="s">
        <v>621</v>
      </c>
      <c r="W82" s="1" t="s">
        <v>1033</v>
      </c>
      <c r="X82" t="str">
        <f>IF(V82="","",VLOOKUP(V82,WMI!A:C,2,FALSE))</f>
        <v>United Kingdom</v>
      </c>
      <c r="Y82" t="str">
        <f>IF(V82="","",VLOOKUP(V82,WMI!A:C,3,FALSE))</f>
        <v>Land Rover</v>
      </c>
      <c r="Z82">
        <f>IF(W82="","",VLOOKUP(W82,year!A:B,2,FALSE))</f>
        <v>2011</v>
      </c>
    </row>
    <row r="83" spans="1:26" x14ac:dyDescent="0.25">
      <c r="A83">
        <v>910</v>
      </c>
      <c r="B83" t="s">
        <v>1683</v>
      </c>
      <c r="C83" t="s">
        <v>2520</v>
      </c>
      <c r="D83" t="s">
        <v>2242</v>
      </c>
      <c r="E83" t="s">
        <v>1962</v>
      </c>
      <c r="F83" t="s">
        <v>2795</v>
      </c>
      <c r="G83" t="s">
        <v>1125</v>
      </c>
      <c r="H83" t="s">
        <v>3152</v>
      </c>
      <c r="I83" t="s">
        <v>3153</v>
      </c>
      <c r="J83" t="s">
        <v>3463</v>
      </c>
      <c r="K83" s="6" t="s">
        <v>3548</v>
      </c>
      <c r="L83" s="5" t="s">
        <v>3548</v>
      </c>
      <c r="M83" t="s">
        <v>1405</v>
      </c>
      <c r="N83" t="s">
        <v>1405</v>
      </c>
      <c r="O83" t="s">
        <v>19</v>
      </c>
      <c r="P83" t="s">
        <v>69</v>
      </c>
      <c r="Q83" t="s">
        <v>70</v>
      </c>
      <c r="R83" t="s">
        <v>547</v>
      </c>
      <c r="S83" s="4">
        <v>4041599242047</v>
      </c>
      <c r="T83" t="s">
        <v>119</v>
      </c>
      <c r="U83" s="1">
        <v>8682.3700000000008</v>
      </c>
      <c r="V83" s="1" t="s">
        <v>621</v>
      </c>
      <c r="W83" s="1" t="s">
        <v>1033</v>
      </c>
      <c r="X83" t="str">
        <f>IF(V83="","",VLOOKUP(V83,WMI!A:C,2,FALSE))</f>
        <v>United Kingdom</v>
      </c>
      <c r="Y83" t="str">
        <f>IF(V83="","",VLOOKUP(V83,WMI!A:C,3,FALSE))</f>
        <v>Land Rover</v>
      </c>
      <c r="Z83">
        <f>IF(W83="","",VLOOKUP(W83,year!A:B,2,FALSE))</f>
        <v>2011</v>
      </c>
    </row>
    <row r="84" spans="1:26" x14ac:dyDescent="0.25">
      <c r="A84">
        <v>114</v>
      </c>
      <c r="B84" t="s">
        <v>1684</v>
      </c>
      <c r="C84" t="s">
        <v>2521</v>
      </c>
      <c r="D84" t="s">
        <v>2243</v>
      </c>
      <c r="E84" t="s">
        <v>1963</v>
      </c>
      <c r="F84" t="s">
        <v>2796</v>
      </c>
      <c r="G84" t="s">
        <v>1126</v>
      </c>
      <c r="H84" t="s">
        <v>3154</v>
      </c>
      <c r="I84" t="s">
        <v>3155</v>
      </c>
      <c r="J84" t="s">
        <v>3445</v>
      </c>
      <c r="K84" s="6" t="s">
        <v>3549</v>
      </c>
      <c r="L84" s="5" t="s">
        <v>3549</v>
      </c>
      <c r="M84" t="s">
        <v>1406</v>
      </c>
      <c r="N84" t="s">
        <v>1406</v>
      </c>
      <c r="O84" t="s">
        <v>16</v>
      </c>
      <c r="P84" t="s">
        <v>53</v>
      </c>
      <c r="Q84" t="s">
        <v>148</v>
      </c>
      <c r="R84" t="s">
        <v>149</v>
      </c>
      <c r="S84" s="4">
        <v>4913751107132530</v>
      </c>
      <c r="T84" t="s">
        <v>26</v>
      </c>
      <c r="U84" s="1">
        <v>6270.91</v>
      </c>
      <c r="V84" s="1" t="s">
        <v>734</v>
      </c>
      <c r="W84" s="1" t="s">
        <v>1033</v>
      </c>
      <c r="X84" t="str">
        <f>IF(V84="","",VLOOKUP(V84,WMI!A:C,2,FALSE))</f>
        <v>United States</v>
      </c>
      <c r="Y84" t="str">
        <f>IF(V84="","",VLOOKUP(V84,WMI!A:C,3,FALSE))</f>
        <v>Nissan</v>
      </c>
      <c r="Z84">
        <f>IF(W84="","",VLOOKUP(W84,year!A:B,2,FALSE))</f>
        <v>2011</v>
      </c>
    </row>
    <row r="85" spans="1:26" x14ac:dyDescent="0.25">
      <c r="A85">
        <v>990</v>
      </c>
      <c r="B85" t="s">
        <v>1685</v>
      </c>
      <c r="C85" t="s">
        <v>2522</v>
      </c>
      <c r="D85" t="s">
        <v>2244</v>
      </c>
      <c r="E85" t="s">
        <v>1964</v>
      </c>
      <c r="F85" t="s">
        <v>2797</v>
      </c>
      <c r="G85" t="s">
        <v>1127</v>
      </c>
      <c r="H85" t="s">
        <v>3156</v>
      </c>
      <c r="I85" t="s">
        <v>3157</v>
      </c>
      <c r="J85" t="s">
        <v>3439</v>
      </c>
      <c r="K85" s="6" t="s">
        <v>3550</v>
      </c>
      <c r="L85" s="5" t="s">
        <v>3550</v>
      </c>
      <c r="M85" t="s">
        <v>1407</v>
      </c>
      <c r="N85" t="s">
        <v>1407</v>
      </c>
      <c r="O85" t="s">
        <v>19</v>
      </c>
      <c r="P85" t="s">
        <v>20</v>
      </c>
      <c r="Q85" t="s">
        <v>290</v>
      </c>
      <c r="R85" t="s">
        <v>577</v>
      </c>
      <c r="S85" s="4">
        <v>5602258350149520</v>
      </c>
      <c r="T85" t="s">
        <v>34</v>
      </c>
      <c r="U85" s="1">
        <v>9901.1200000000008</v>
      </c>
      <c r="V85" s="1" t="s">
        <v>734</v>
      </c>
      <c r="W85" s="1" t="s">
        <v>1033</v>
      </c>
      <c r="X85" t="str">
        <f>IF(V85="","",VLOOKUP(V85,WMI!A:C,2,FALSE))</f>
        <v>United States</v>
      </c>
      <c r="Y85" t="str">
        <f>IF(V85="","",VLOOKUP(V85,WMI!A:C,3,FALSE))</f>
        <v>Nissan</v>
      </c>
      <c r="Z85">
        <f>IF(W85="","",VLOOKUP(W85,year!A:B,2,FALSE))</f>
        <v>2011</v>
      </c>
    </row>
    <row r="86" spans="1:26" x14ac:dyDescent="0.25">
      <c r="A86">
        <v>111</v>
      </c>
      <c r="B86" t="s">
        <v>1686</v>
      </c>
      <c r="C86" t="s">
        <v>2523</v>
      </c>
      <c r="D86" t="s">
        <v>2245</v>
      </c>
      <c r="E86" t="s">
        <v>1965</v>
      </c>
      <c r="F86" t="s">
        <v>2798</v>
      </c>
      <c r="G86" t="s">
        <v>1128</v>
      </c>
      <c r="H86" t="s">
        <v>3158</v>
      </c>
      <c r="I86" t="s">
        <v>3155</v>
      </c>
      <c r="J86" t="s">
        <v>3445</v>
      </c>
      <c r="K86" s="6" t="s">
        <v>3551</v>
      </c>
      <c r="L86" s="5" t="s">
        <v>3551</v>
      </c>
      <c r="M86" t="s">
        <v>1408</v>
      </c>
      <c r="N86" t="s">
        <v>1408</v>
      </c>
      <c r="O86" t="s">
        <v>16</v>
      </c>
      <c r="P86" t="s">
        <v>17</v>
      </c>
      <c r="Q86" t="s">
        <v>145</v>
      </c>
      <c r="R86" t="s">
        <v>146</v>
      </c>
      <c r="S86" s="4">
        <v>3568408676409040</v>
      </c>
      <c r="T86" t="s">
        <v>18</v>
      </c>
      <c r="U86" s="1">
        <v>9817.75</v>
      </c>
      <c r="V86" s="1" t="s">
        <v>925</v>
      </c>
      <c r="W86" s="1" t="s">
        <v>1033</v>
      </c>
      <c r="X86" t="str">
        <f>IF(V86="","",VLOOKUP(V86,WMI!A:C,2,FALSE))</f>
        <v>United States</v>
      </c>
      <c r="Y86" t="str">
        <f>IF(V86="","",VLOOKUP(V86,WMI!A:C,3,FALSE))</f>
        <v>Honda</v>
      </c>
      <c r="Z86">
        <f>IF(W86="","",VLOOKUP(W86,year!A:B,2,FALSE))</f>
        <v>2011</v>
      </c>
    </row>
    <row r="87" spans="1:26" x14ac:dyDescent="0.25">
      <c r="A87">
        <v>165</v>
      </c>
      <c r="B87" t="s">
        <v>1687</v>
      </c>
      <c r="C87" t="s">
        <v>2524</v>
      </c>
      <c r="D87" t="s">
        <v>2246</v>
      </c>
      <c r="E87" t="s">
        <v>1966</v>
      </c>
      <c r="F87" t="s">
        <v>2799</v>
      </c>
      <c r="G87" t="s">
        <v>1129</v>
      </c>
      <c r="H87" t="s">
        <v>3159</v>
      </c>
      <c r="I87" t="s">
        <v>3160</v>
      </c>
      <c r="J87" t="s">
        <v>2993</v>
      </c>
      <c r="K87" s="6" t="s">
        <v>3552</v>
      </c>
      <c r="L87" s="5" t="s">
        <v>3552</v>
      </c>
      <c r="M87" t="s">
        <v>1409</v>
      </c>
      <c r="N87" t="s">
        <v>1409</v>
      </c>
      <c r="O87" t="s">
        <v>16</v>
      </c>
      <c r="P87" t="s">
        <v>30</v>
      </c>
      <c r="Q87">
        <v>911</v>
      </c>
      <c r="R87" t="s">
        <v>191</v>
      </c>
      <c r="S87" s="4">
        <v>3559703227509480</v>
      </c>
      <c r="T87" t="s">
        <v>18</v>
      </c>
      <c r="U87" s="1">
        <v>5484.34</v>
      </c>
      <c r="V87" s="1" t="s">
        <v>901</v>
      </c>
      <c r="W87" s="1" t="s">
        <v>1033</v>
      </c>
      <c r="X87" t="str">
        <f>IF(V87="","",VLOOKUP(V87,WMI!A:C,2,FALSE))</f>
        <v>United States</v>
      </c>
      <c r="Y87" t="str">
        <f>IF(V87="","",VLOOKUP(V87,WMI!A:C,3,FALSE))</f>
        <v>GMC incomplete vehicles</v>
      </c>
      <c r="Z87">
        <f>IF(W87="","",VLOOKUP(W87,year!A:B,2,FALSE))</f>
        <v>2011</v>
      </c>
    </row>
    <row r="88" spans="1:26" x14ac:dyDescent="0.25">
      <c r="A88">
        <v>541</v>
      </c>
      <c r="B88" t="s">
        <v>1688</v>
      </c>
      <c r="C88" t="s">
        <v>2525</v>
      </c>
      <c r="D88" t="s">
        <v>2247</v>
      </c>
      <c r="E88" t="s">
        <v>1967</v>
      </c>
      <c r="F88" t="s">
        <v>2800</v>
      </c>
      <c r="G88" t="s">
        <v>1130</v>
      </c>
      <c r="H88" t="s">
        <v>3161</v>
      </c>
      <c r="I88" t="s">
        <v>3045</v>
      </c>
      <c r="J88" t="s">
        <v>2993</v>
      </c>
      <c r="K88" s="6" t="s">
        <v>3553</v>
      </c>
      <c r="L88" s="5" t="s">
        <v>3553</v>
      </c>
      <c r="M88" t="s">
        <v>1410</v>
      </c>
      <c r="N88" t="s">
        <v>1410</v>
      </c>
      <c r="O88" t="s">
        <v>19</v>
      </c>
      <c r="P88" t="s">
        <v>36</v>
      </c>
      <c r="Q88" t="s">
        <v>114</v>
      </c>
      <c r="R88" t="s">
        <v>389</v>
      </c>
      <c r="S88" s="4">
        <v>3555990701897870</v>
      </c>
      <c r="T88" t="s">
        <v>18</v>
      </c>
      <c r="U88" s="1">
        <v>5100.33</v>
      </c>
      <c r="V88" s="1" t="s">
        <v>901</v>
      </c>
      <c r="W88" s="1" t="s">
        <v>1033</v>
      </c>
      <c r="X88" t="str">
        <f>IF(V88="","",VLOOKUP(V88,WMI!A:C,2,FALSE))</f>
        <v>United States</v>
      </c>
      <c r="Y88" t="str">
        <f>IF(V88="","",VLOOKUP(V88,WMI!A:C,3,FALSE))</f>
        <v>GMC incomplete vehicles</v>
      </c>
      <c r="Z88">
        <f>IF(W88="","",VLOOKUP(W88,year!A:B,2,FALSE))</f>
        <v>2011</v>
      </c>
    </row>
    <row r="89" spans="1:26" x14ac:dyDescent="0.25">
      <c r="A89">
        <v>632</v>
      </c>
      <c r="B89" t="s">
        <v>1689</v>
      </c>
      <c r="C89" t="s">
        <v>2526</v>
      </c>
      <c r="D89" t="s">
        <v>2248</v>
      </c>
      <c r="E89" t="s">
        <v>1968</v>
      </c>
      <c r="F89" t="s">
        <v>2801</v>
      </c>
      <c r="G89" t="s">
        <v>1131</v>
      </c>
      <c r="H89" t="s">
        <v>3162</v>
      </c>
      <c r="I89" t="s">
        <v>3090</v>
      </c>
      <c r="J89" t="s">
        <v>2993</v>
      </c>
      <c r="K89" s="6" t="s">
        <v>3511</v>
      </c>
      <c r="L89" s="5" t="s">
        <v>3511</v>
      </c>
      <c r="M89" t="s">
        <v>1411</v>
      </c>
      <c r="N89" t="s">
        <v>1411</v>
      </c>
      <c r="O89" t="s">
        <v>16</v>
      </c>
      <c r="P89" t="s">
        <v>429</v>
      </c>
      <c r="Q89" t="s">
        <v>430</v>
      </c>
      <c r="R89" t="s">
        <v>431</v>
      </c>
      <c r="S89" s="4">
        <v>3536412446819990</v>
      </c>
      <c r="T89" t="s">
        <v>18</v>
      </c>
      <c r="U89" s="1">
        <v>7051.05</v>
      </c>
      <c r="V89" s="1" t="s">
        <v>901</v>
      </c>
      <c r="W89" s="1" t="s">
        <v>1033</v>
      </c>
      <c r="X89" t="str">
        <f>IF(V89="","",VLOOKUP(V89,WMI!A:C,2,FALSE))</f>
        <v>United States</v>
      </c>
      <c r="Y89" t="str">
        <f>IF(V89="","",VLOOKUP(V89,WMI!A:C,3,FALSE))</f>
        <v>GMC incomplete vehicles</v>
      </c>
      <c r="Z89">
        <f>IF(W89="","",VLOOKUP(W89,year!A:B,2,FALSE))</f>
        <v>2011</v>
      </c>
    </row>
    <row r="90" spans="1:26" x14ac:dyDescent="0.25">
      <c r="A90">
        <v>687</v>
      </c>
      <c r="B90" t="s">
        <v>1690</v>
      </c>
      <c r="C90" t="s">
        <v>2527</v>
      </c>
      <c r="D90" t="s">
        <v>2249</v>
      </c>
      <c r="E90" t="s">
        <v>1969</v>
      </c>
      <c r="F90" t="s">
        <v>2802</v>
      </c>
      <c r="G90" t="s">
        <v>1132</v>
      </c>
      <c r="H90" t="s">
        <v>3163</v>
      </c>
      <c r="I90" t="s">
        <v>3164</v>
      </c>
      <c r="J90" t="s">
        <v>2997</v>
      </c>
      <c r="K90" s="6" t="s">
        <v>3554</v>
      </c>
      <c r="L90" s="5" t="s">
        <v>3554</v>
      </c>
      <c r="M90" t="s">
        <v>1412</v>
      </c>
      <c r="N90" t="s">
        <v>1412</v>
      </c>
      <c r="O90" t="s">
        <v>19</v>
      </c>
      <c r="P90" t="s">
        <v>53</v>
      </c>
      <c r="Q90" t="s">
        <v>337</v>
      </c>
      <c r="R90" t="s">
        <v>457</v>
      </c>
      <c r="S90" s="4">
        <v>374622182652163</v>
      </c>
      <c r="T90" t="s">
        <v>48</v>
      </c>
      <c r="U90" s="1">
        <v>5979.14</v>
      </c>
      <c r="V90" s="1" t="s">
        <v>901</v>
      </c>
      <c r="W90" s="1" t="s">
        <v>1033</v>
      </c>
      <c r="X90" t="str">
        <f>IF(V90="","",VLOOKUP(V90,WMI!A:C,2,FALSE))</f>
        <v>United States</v>
      </c>
      <c r="Y90" t="str">
        <f>IF(V90="","",VLOOKUP(V90,WMI!A:C,3,FALSE))</f>
        <v>GMC incomplete vehicles</v>
      </c>
      <c r="Z90">
        <f>IF(W90="","",VLOOKUP(W90,year!A:B,2,FALSE))</f>
        <v>2011</v>
      </c>
    </row>
    <row r="91" spans="1:26" x14ac:dyDescent="0.25">
      <c r="A91">
        <v>790</v>
      </c>
      <c r="B91" t="s">
        <v>1691</v>
      </c>
      <c r="C91" t="s">
        <v>2528</v>
      </c>
      <c r="D91" t="s">
        <v>2250</v>
      </c>
      <c r="E91" t="s">
        <v>1970</v>
      </c>
      <c r="F91" t="s">
        <v>2803</v>
      </c>
      <c r="G91" t="s">
        <v>1133</v>
      </c>
      <c r="H91" t="s">
        <v>3165</v>
      </c>
      <c r="I91" t="s">
        <v>3166</v>
      </c>
      <c r="J91" t="s">
        <v>3447</v>
      </c>
      <c r="K91" s="6" t="s">
        <v>3555</v>
      </c>
      <c r="L91" s="5" t="s">
        <v>3555</v>
      </c>
      <c r="M91" t="s">
        <v>1413</v>
      </c>
      <c r="N91" t="s">
        <v>1413</v>
      </c>
      <c r="O91" t="s">
        <v>19</v>
      </c>
      <c r="P91" t="s">
        <v>53</v>
      </c>
      <c r="Q91" t="s">
        <v>317</v>
      </c>
      <c r="R91" t="s">
        <v>497</v>
      </c>
      <c r="S91" s="4">
        <v>201567002231194</v>
      </c>
      <c r="T91" t="s">
        <v>28</v>
      </c>
      <c r="U91" s="1">
        <v>5613.25</v>
      </c>
      <c r="V91" s="1" t="s">
        <v>902</v>
      </c>
      <c r="W91" s="1" t="s">
        <v>1033</v>
      </c>
      <c r="X91" t="str">
        <f>IF(V91="","",VLOOKUP(V91,WMI!A:C,2,FALSE))</f>
        <v>United States</v>
      </c>
      <c r="Y91" t="str">
        <f>IF(V91="","",VLOOKUP(V91,WMI!A:C,3,FALSE))</f>
        <v>Honda</v>
      </c>
      <c r="Z91">
        <f>IF(W91="","",VLOOKUP(W91,year!A:B,2,FALSE))</f>
        <v>2011</v>
      </c>
    </row>
    <row r="92" spans="1:26" x14ac:dyDescent="0.25">
      <c r="A92">
        <v>147</v>
      </c>
      <c r="B92" t="s">
        <v>1692</v>
      </c>
      <c r="C92" t="s">
        <v>2529</v>
      </c>
      <c r="D92" t="s">
        <v>2251</v>
      </c>
      <c r="E92" t="s">
        <v>1971</v>
      </c>
      <c r="F92" t="s">
        <v>2804</v>
      </c>
      <c r="G92" t="s">
        <v>1134</v>
      </c>
      <c r="H92" t="s">
        <v>3167</v>
      </c>
      <c r="I92" t="s">
        <v>3168</v>
      </c>
      <c r="J92" t="s">
        <v>3440</v>
      </c>
      <c r="K92" s="6" t="s">
        <v>3556</v>
      </c>
      <c r="L92" s="5" t="s">
        <v>3556</v>
      </c>
      <c r="M92" t="s">
        <v>1414</v>
      </c>
      <c r="N92" t="s">
        <v>1414</v>
      </c>
      <c r="O92" t="s">
        <v>16</v>
      </c>
      <c r="P92" t="s">
        <v>69</v>
      </c>
      <c r="Q92" t="s">
        <v>181</v>
      </c>
      <c r="R92" t="s">
        <v>182</v>
      </c>
      <c r="S92" s="4">
        <v>3581459218153370</v>
      </c>
      <c r="T92" t="s">
        <v>18</v>
      </c>
      <c r="U92" s="1">
        <v>9720.4699999999993</v>
      </c>
      <c r="V92" s="1" t="s">
        <v>660</v>
      </c>
      <c r="W92" s="1" t="s">
        <v>1034</v>
      </c>
      <c r="X92" t="str">
        <f>IF(V92="","",VLOOKUP(V92,WMI!A:C,2,FALSE))</f>
        <v>Germany</v>
      </c>
      <c r="Y92" t="str">
        <f>IF(V92="","",VLOOKUP(V92,WMI!A:C,3,FALSE))</f>
        <v>Audi</v>
      </c>
      <c r="Z92">
        <f>IF(W92="","",VLOOKUP(W92,year!A:B,2,FALSE))</f>
        <v>2012</v>
      </c>
    </row>
    <row r="93" spans="1:26" x14ac:dyDescent="0.25">
      <c r="A93">
        <v>158</v>
      </c>
      <c r="B93" t="s">
        <v>1693</v>
      </c>
      <c r="C93" t="s">
        <v>2530</v>
      </c>
      <c r="D93" t="s">
        <v>2252</v>
      </c>
      <c r="E93" t="s">
        <v>1972</v>
      </c>
      <c r="F93" t="s">
        <v>2805</v>
      </c>
      <c r="G93" t="s">
        <v>1135</v>
      </c>
      <c r="H93" t="s">
        <v>3169</v>
      </c>
      <c r="I93" t="s">
        <v>3119</v>
      </c>
      <c r="J93" t="s">
        <v>2993</v>
      </c>
      <c r="K93" s="6" t="s">
        <v>3557</v>
      </c>
      <c r="L93" s="5" t="s">
        <v>3557</v>
      </c>
      <c r="M93" t="s">
        <v>1415</v>
      </c>
      <c r="N93" t="s">
        <v>1415</v>
      </c>
      <c r="O93" t="s">
        <v>16</v>
      </c>
      <c r="P93" t="s">
        <v>39</v>
      </c>
      <c r="Q93" t="s">
        <v>184</v>
      </c>
      <c r="R93" t="s">
        <v>188</v>
      </c>
      <c r="S93" s="4">
        <v>6771444890747650</v>
      </c>
      <c r="T93" t="s">
        <v>41</v>
      </c>
      <c r="U93" s="1">
        <v>6258.38</v>
      </c>
      <c r="V93" s="1" t="s">
        <v>660</v>
      </c>
      <c r="W93" s="1" t="s">
        <v>1034</v>
      </c>
      <c r="X93" t="str">
        <f>IF(V93="","",VLOOKUP(V93,WMI!A:C,2,FALSE))</f>
        <v>Germany</v>
      </c>
      <c r="Y93" t="str">
        <f>IF(V93="","",VLOOKUP(V93,WMI!A:C,3,FALSE))</f>
        <v>Audi</v>
      </c>
      <c r="Z93">
        <f>IF(W93="","",VLOOKUP(W93,year!A:B,2,FALSE))</f>
        <v>2012</v>
      </c>
    </row>
    <row r="94" spans="1:26" x14ac:dyDescent="0.25">
      <c r="A94">
        <v>250</v>
      </c>
      <c r="B94" t="s">
        <v>1694</v>
      </c>
      <c r="C94" t="s">
        <v>2531</v>
      </c>
      <c r="D94" t="s">
        <v>2253</v>
      </c>
      <c r="E94" t="s">
        <v>1973</v>
      </c>
      <c r="F94" t="s">
        <v>2806</v>
      </c>
      <c r="G94" t="s">
        <v>1136</v>
      </c>
      <c r="H94" t="s">
        <v>3170</v>
      </c>
      <c r="I94" t="s">
        <v>3171</v>
      </c>
      <c r="J94" t="s">
        <v>3463</v>
      </c>
      <c r="K94" s="6" t="s">
        <v>3558</v>
      </c>
      <c r="L94" s="5" t="s">
        <v>3558</v>
      </c>
      <c r="M94" t="s">
        <v>1416</v>
      </c>
      <c r="N94" t="s">
        <v>1416</v>
      </c>
      <c r="O94" t="s">
        <v>16</v>
      </c>
      <c r="P94" t="s">
        <v>120</v>
      </c>
      <c r="Q94" t="s">
        <v>251</v>
      </c>
      <c r="R94" t="s">
        <v>252</v>
      </c>
      <c r="S94" s="4">
        <v>6334682619049540</v>
      </c>
      <c r="T94" t="s">
        <v>140</v>
      </c>
      <c r="U94" s="1">
        <v>9529.3799999999992</v>
      </c>
      <c r="V94" s="1" t="s">
        <v>660</v>
      </c>
      <c r="W94" s="1" t="s">
        <v>1034</v>
      </c>
      <c r="X94" t="str">
        <f>IF(V94="","",VLOOKUP(V94,WMI!A:C,2,FALSE))</f>
        <v>Germany</v>
      </c>
      <c r="Y94" t="str">
        <f>IF(V94="","",VLOOKUP(V94,WMI!A:C,3,FALSE))</f>
        <v>Audi</v>
      </c>
      <c r="Z94">
        <f>IF(W94="","",VLOOKUP(W94,year!A:B,2,FALSE))</f>
        <v>2012</v>
      </c>
    </row>
    <row r="95" spans="1:26" x14ac:dyDescent="0.25">
      <c r="A95">
        <v>408</v>
      </c>
      <c r="B95" t="s">
        <v>1695</v>
      </c>
      <c r="C95" t="s">
        <v>2532</v>
      </c>
      <c r="D95" t="s">
        <v>2254</v>
      </c>
      <c r="E95" t="s">
        <v>1974</v>
      </c>
      <c r="F95" t="s">
        <v>2807</v>
      </c>
      <c r="G95" t="s">
        <v>1137</v>
      </c>
      <c r="H95" t="s">
        <v>3172</v>
      </c>
      <c r="I95" t="s">
        <v>3173</v>
      </c>
      <c r="J95" t="s">
        <v>3463</v>
      </c>
      <c r="K95" s="6" t="s">
        <v>3559</v>
      </c>
      <c r="L95" s="5" t="s">
        <v>3559</v>
      </c>
      <c r="M95" t="s">
        <v>1417</v>
      </c>
      <c r="N95" t="s">
        <v>1417</v>
      </c>
      <c r="O95" t="s">
        <v>16</v>
      </c>
      <c r="P95" t="s">
        <v>27</v>
      </c>
      <c r="Q95" t="s">
        <v>306</v>
      </c>
      <c r="R95" t="s">
        <v>333</v>
      </c>
      <c r="S95" s="4">
        <v>3581362953964040</v>
      </c>
      <c r="T95" t="s">
        <v>18</v>
      </c>
      <c r="U95" s="1">
        <v>9801.14</v>
      </c>
      <c r="V95" s="1" t="s">
        <v>660</v>
      </c>
      <c r="W95" s="1" t="s">
        <v>1034</v>
      </c>
      <c r="X95" t="str">
        <f>IF(V95="","",VLOOKUP(V95,WMI!A:C,2,FALSE))</f>
        <v>Germany</v>
      </c>
      <c r="Y95" t="str">
        <f>IF(V95="","",VLOOKUP(V95,WMI!A:C,3,FALSE))</f>
        <v>Audi</v>
      </c>
      <c r="Z95">
        <f>IF(W95="","",VLOOKUP(W95,year!A:B,2,FALSE))</f>
        <v>2012</v>
      </c>
    </row>
    <row r="96" spans="1:26" x14ac:dyDescent="0.25">
      <c r="A96">
        <v>426</v>
      </c>
      <c r="B96" t="s">
        <v>1696</v>
      </c>
      <c r="C96" t="s">
        <v>2533</v>
      </c>
      <c r="D96" t="s">
        <v>2255</v>
      </c>
      <c r="E96" t="s">
        <v>1975</v>
      </c>
      <c r="F96" t="s">
        <v>2808</v>
      </c>
      <c r="G96" t="s">
        <v>1138</v>
      </c>
      <c r="H96" t="s">
        <v>3174</v>
      </c>
      <c r="I96" t="s">
        <v>3018</v>
      </c>
      <c r="J96" t="s">
        <v>3440</v>
      </c>
      <c r="K96" s="6" t="s">
        <v>3560</v>
      </c>
      <c r="L96" s="5" t="s">
        <v>3560</v>
      </c>
      <c r="M96" t="s">
        <v>1418</v>
      </c>
      <c r="N96" t="s">
        <v>1418</v>
      </c>
      <c r="O96" t="s">
        <v>16</v>
      </c>
      <c r="P96" t="s">
        <v>97</v>
      </c>
      <c r="Q96" t="s">
        <v>344</v>
      </c>
      <c r="R96" t="s">
        <v>345</v>
      </c>
      <c r="S96" s="4">
        <v>374283099869935</v>
      </c>
      <c r="T96" t="s">
        <v>48</v>
      </c>
      <c r="U96" s="1">
        <v>9225.77</v>
      </c>
      <c r="V96" s="1" t="s">
        <v>660</v>
      </c>
      <c r="W96" s="1" t="s">
        <v>1034</v>
      </c>
      <c r="X96" t="str">
        <f>IF(V96="","",VLOOKUP(V96,WMI!A:C,2,FALSE))</f>
        <v>Germany</v>
      </c>
      <c r="Y96" t="str">
        <f>IF(V96="","",VLOOKUP(V96,WMI!A:C,3,FALSE))</f>
        <v>Audi</v>
      </c>
      <c r="Z96">
        <f>IF(W96="","",VLOOKUP(W96,year!A:B,2,FALSE))</f>
        <v>2012</v>
      </c>
    </row>
    <row r="97" spans="1:26" x14ac:dyDescent="0.25">
      <c r="A97">
        <v>453</v>
      </c>
      <c r="B97" t="s">
        <v>1697</v>
      </c>
      <c r="C97" t="s">
        <v>2534</v>
      </c>
      <c r="D97" t="s">
        <v>2256</v>
      </c>
      <c r="E97" t="s">
        <v>1976</v>
      </c>
      <c r="F97" t="s">
        <v>2809</v>
      </c>
      <c r="G97" t="s">
        <v>1139</v>
      </c>
      <c r="H97" t="s">
        <v>3175</v>
      </c>
      <c r="I97" t="s">
        <v>3049</v>
      </c>
      <c r="J97" t="s">
        <v>3001</v>
      </c>
      <c r="K97" s="6" t="s">
        <v>3561</v>
      </c>
      <c r="L97" s="5" t="s">
        <v>3561</v>
      </c>
      <c r="M97" t="s">
        <v>1419</v>
      </c>
      <c r="N97" t="s">
        <v>1419</v>
      </c>
      <c r="O97" t="s">
        <v>16</v>
      </c>
      <c r="P97" t="s">
        <v>42</v>
      </c>
      <c r="Q97">
        <v>100</v>
      </c>
      <c r="R97" t="s">
        <v>354</v>
      </c>
      <c r="S97" s="4">
        <v>3558458052097830</v>
      </c>
      <c r="T97" t="s">
        <v>18</v>
      </c>
      <c r="U97" s="1">
        <v>9428.4</v>
      </c>
      <c r="V97" s="1" t="s">
        <v>660</v>
      </c>
      <c r="W97" s="1" t="s">
        <v>1034</v>
      </c>
      <c r="X97" t="str">
        <f>IF(V97="","",VLOOKUP(V97,WMI!A:C,2,FALSE))</f>
        <v>Germany</v>
      </c>
      <c r="Y97" t="str">
        <f>IF(V97="","",VLOOKUP(V97,WMI!A:C,3,FALSE))</f>
        <v>Audi</v>
      </c>
      <c r="Z97">
        <f>IF(W97="","",VLOOKUP(W97,year!A:B,2,FALSE))</f>
        <v>2012</v>
      </c>
    </row>
    <row r="98" spans="1:26" x14ac:dyDescent="0.25">
      <c r="A98">
        <v>515</v>
      </c>
      <c r="B98" t="s">
        <v>1698</v>
      </c>
      <c r="C98" t="s">
        <v>2535</v>
      </c>
      <c r="D98" t="s">
        <v>2257</v>
      </c>
      <c r="E98" t="s">
        <v>1977</v>
      </c>
      <c r="F98" t="s">
        <v>2810</v>
      </c>
      <c r="G98" t="s">
        <v>1140</v>
      </c>
      <c r="H98" t="s">
        <v>3176</v>
      </c>
      <c r="I98" t="s">
        <v>3177</v>
      </c>
      <c r="J98" t="s">
        <v>3464</v>
      </c>
      <c r="K98" s="6" t="s">
        <v>3562</v>
      </c>
      <c r="L98" s="5" t="s">
        <v>3562</v>
      </c>
      <c r="M98" t="s">
        <v>1420</v>
      </c>
      <c r="N98" t="s">
        <v>1420</v>
      </c>
      <c r="O98" t="s">
        <v>16</v>
      </c>
      <c r="P98" t="s">
        <v>105</v>
      </c>
      <c r="Q98" t="s">
        <v>378</v>
      </c>
      <c r="R98" t="s">
        <v>379</v>
      </c>
      <c r="S98" s="4">
        <v>3556027151383560</v>
      </c>
      <c r="T98" t="s">
        <v>18</v>
      </c>
      <c r="U98" s="1">
        <v>5022.07</v>
      </c>
      <c r="V98" s="1" t="s">
        <v>660</v>
      </c>
      <c r="W98" s="1" t="s">
        <v>1034</v>
      </c>
      <c r="X98" t="str">
        <f>IF(V98="","",VLOOKUP(V98,WMI!A:C,2,FALSE))</f>
        <v>Germany</v>
      </c>
      <c r="Y98" t="str">
        <f>IF(V98="","",VLOOKUP(V98,WMI!A:C,3,FALSE))</f>
        <v>Audi</v>
      </c>
      <c r="Z98">
        <f>IF(W98="","",VLOOKUP(W98,year!A:B,2,FALSE))</f>
        <v>2012</v>
      </c>
    </row>
    <row r="99" spans="1:26" x14ac:dyDescent="0.25">
      <c r="A99">
        <v>714</v>
      </c>
      <c r="B99" t="s">
        <v>1699</v>
      </c>
      <c r="C99" t="s">
        <v>2536</v>
      </c>
      <c r="D99" t="s">
        <v>2258</v>
      </c>
      <c r="E99" t="s">
        <v>1978</v>
      </c>
      <c r="F99" t="s">
        <v>2811</v>
      </c>
      <c r="G99" t="s">
        <v>1141</v>
      </c>
      <c r="H99" t="s">
        <v>3178</v>
      </c>
      <c r="I99" t="s">
        <v>3179</v>
      </c>
      <c r="J99" t="s">
        <v>3453</v>
      </c>
      <c r="K99" s="6" t="s">
        <v>3563</v>
      </c>
      <c r="L99" s="5" t="s">
        <v>3563</v>
      </c>
      <c r="M99" t="s">
        <v>1421</v>
      </c>
      <c r="N99" t="s">
        <v>1421</v>
      </c>
      <c r="O99" t="s">
        <v>19</v>
      </c>
      <c r="P99" t="s">
        <v>107</v>
      </c>
      <c r="Q99" t="s">
        <v>467</v>
      </c>
      <c r="R99" t="s">
        <v>468</v>
      </c>
      <c r="S99" s="4">
        <v>3576896243068550</v>
      </c>
      <c r="T99" t="s">
        <v>18</v>
      </c>
      <c r="U99" s="1">
        <v>9173.6299999999992</v>
      </c>
      <c r="V99" s="1" t="s">
        <v>660</v>
      </c>
      <c r="W99" s="1" t="s">
        <v>1034</v>
      </c>
      <c r="X99" t="str">
        <f>IF(V99="","",VLOOKUP(V99,WMI!A:C,2,FALSE))</f>
        <v>Germany</v>
      </c>
      <c r="Y99" t="str">
        <f>IF(V99="","",VLOOKUP(V99,WMI!A:C,3,FALSE))</f>
        <v>Audi</v>
      </c>
      <c r="Z99">
        <f>IF(W99="","",VLOOKUP(W99,year!A:B,2,FALSE))</f>
        <v>2012</v>
      </c>
    </row>
    <row r="100" spans="1:26" x14ac:dyDescent="0.25">
      <c r="A100">
        <v>779</v>
      </c>
      <c r="B100" t="s">
        <v>1700</v>
      </c>
      <c r="C100" t="s">
        <v>2537</v>
      </c>
      <c r="D100" t="s">
        <v>2259</v>
      </c>
      <c r="E100" t="s">
        <v>1979</v>
      </c>
      <c r="F100" t="s">
        <v>2812</v>
      </c>
      <c r="G100" t="s">
        <v>1142</v>
      </c>
      <c r="H100" t="s">
        <v>3180</v>
      </c>
      <c r="I100" t="s">
        <v>3181</v>
      </c>
      <c r="J100" t="s">
        <v>3439</v>
      </c>
      <c r="K100" s="6" t="s">
        <v>3564</v>
      </c>
      <c r="L100" s="5" t="s">
        <v>3564</v>
      </c>
      <c r="M100" t="s">
        <v>1422</v>
      </c>
      <c r="N100" t="s">
        <v>1422</v>
      </c>
      <c r="O100" t="s">
        <v>19</v>
      </c>
      <c r="P100" t="s">
        <v>100</v>
      </c>
      <c r="Q100" t="s">
        <v>351</v>
      </c>
      <c r="R100" t="s">
        <v>492</v>
      </c>
      <c r="S100" s="4">
        <v>5409519522699230</v>
      </c>
      <c r="T100" t="s">
        <v>229</v>
      </c>
      <c r="U100" s="1">
        <v>8640.84</v>
      </c>
      <c r="V100" s="1" t="s">
        <v>660</v>
      </c>
      <c r="W100" s="1" t="s">
        <v>1034</v>
      </c>
      <c r="X100" t="str">
        <f>IF(V100="","",VLOOKUP(V100,WMI!A:C,2,FALSE))</f>
        <v>Germany</v>
      </c>
      <c r="Y100" t="str">
        <f>IF(V100="","",VLOOKUP(V100,WMI!A:C,3,FALSE))</f>
        <v>Audi</v>
      </c>
      <c r="Z100">
        <f>IF(W100="","",VLOOKUP(W100,year!A:B,2,FALSE))</f>
        <v>2012</v>
      </c>
    </row>
    <row r="101" spans="1:26" x14ac:dyDescent="0.25">
      <c r="A101">
        <v>984</v>
      </c>
      <c r="B101" t="s">
        <v>1701</v>
      </c>
      <c r="C101" t="s">
        <v>2538</v>
      </c>
      <c r="D101" t="s">
        <v>2260</v>
      </c>
      <c r="E101" t="s">
        <v>1980</v>
      </c>
      <c r="F101" t="s">
        <v>2813</v>
      </c>
      <c r="G101" t="s">
        <v>1143</v>
      </c>
      <c r="H101" t="s">
        <v>3182</v>
      </c>
      <c r="I101" t="s">
        <v>3183</v>
      </c>
      <c r="J101" t="s">
        <v>3445</v>
      </c>
      <c r="K101" s="6" t="s">
        <v>3565</v>
      </c>
      <c r="L101" s="5" t="s">
        <v>3565</v>
      </c>
      <c r="M101" t="s">
        <v>1423</v>
      </c>
      <c r="N101" t="s">
        <v>1423</v>
      </c>
      <c r="O101" t="s">
        <v>19</v>
      </c>
      <c r="P101" t="s">
        <v>83</v>
      </c>
      <c r="Q101" t="s">
        <v>84</v>
      </c>
      <c r="R101" t="s">
        <v>574</v>
      </c>
      <c r="S101" s="4">
        <v>5602236784665680</v>
      </c>
      <c r="T101" t="s">
        <v>34</v>
      </c>
      <c r="U101" s="1">
        <v>6479.51</v>
      </c>
      <c r="V101" s="1" t="s">
        <v>660</v>
      </c>
      <c r="W101" s="1" t="s">
        <v>1034</v>
      </c>
      <c r="X101" t="str">
        <f>IF(V101="","",VLOOKUP(V101,WMI!A:C,2,FALSE))</f>
        <v>Germany</v>
      </c>
      <c r="Y101" t="str">
        <f>IF(V101="","",VLOOKUP(V101,WMI!A:C,3,FALSE))</f>
        <v>Audi</v>
      </c>
      <c r="Z101">
        <f>IF(W101="","",VLOOKUP(W101,year!A:B,2,FALSE))</f>
        <v>2012</v>
      </c>
    </row>
    <row r="102" spans="1:26" x14ac:dyDescent="0.25">
      <c r="A102">
        <v>989</v>
      </c>
      <c r="B102" t="s">
        <v>1702</v>
      </c>
      <c r="C102" t="s">
        <v>2539</v>
      </c>
      <c r="D102" t="s">
        <v>2261</v>
      </c>
      <c r="E102" t="s">
        <v>1981</v>
      </c>
      <c r="F102" t="s">
        <v>2814</v>
      </c>
      <c r="G102" t="s">
        <v>1144</v>
      </c>
      <c r="H102" t="s">
        <v>3184</v>
      </c>
      <c r="I102" t="s">
        <v>3185</v>
      </c>
      <c r="J102" t="s">
        <v>3447</v>
      </c>
      <c r="K102" s="6" t="s">
        <v>3566</v>
      </c>
      <c r="L102" s="5" t="s">
        <v>3566</v>
      </c>
      <c r="M102" t="s">
        <v>1424</v>
      </c>
      <c r="N102" t="s">
        <v>1424</v>
      </c>
      <c r="O102" t="s">
        <v>16</v>
      </c>
      <c r="P102" t="s">
        <v>107</v>
      </c>
      <c r="Q102" t="s">
        <v>413</v>
      </c>
      <c r="R102" t="s">
        <v>576</v>
      </c>
      <c r="S102" s="4">
        <v>4405545098234380</v>
      </c>
      <c r="T102" t="s">
        <v>26</v>
      </c>
      <c r="U102" s="1">
        <v>8220.61</v>
      </c>
      <c r="V102" s="1" t="s">
        <v>660</v>
      </c>
      <c r="W102" s="1" t="s">
        <v>1034</v>
      </c>
      <c r="X102" t="str">
        <f>IF(V102="","",VLOOKUP(V102,WMI!A:C,2,FALSE))</f>
        <v>Germany</v>
      </c>
      <c r="Y102" t="str">
        <f>IF(V102="","",VLOOKUP(V102,WMI!A:C,3,FALSE))</f>
        <v>Audi</v>
      </c>
      <c r="Z102">
        <f>IF(W102="","",VLOOKUP(W102,year!A:B,2,FALSE))</f>
        <v>2012</v>
      </c>
    </row>
    <row r="103" spans="1:26" x14ac:dyDescent="0.25">
      <c r="A103">
        <v>41</v>
      </c>
      <c r="B103" t="s">
        <v>1703</v>
      </c>
      <c r="C103" t="s">
        <v>2540</v>
      </c>
      <c r="D103" t="s">
        <v>2262</v>
      </c>
      <c r="E103" t="s">
        <v>1982</v>
      </c>
      <c r="F103" t="s">
        <v>2815</v>
      </c>
      <c r="G103" t="s">
        <v>1145</v>
      </c>
      <c r="H103" t="s">
        <v>3186</v>
      </c>
      <c r="I103" t="s">
        <v>3187</v>
      </c>
      <c r="J103" t="s">
        <v>3462</v>
      </c>
      <c r="K103" s="6" t="s">
        <v>3567</v>
      </c>
      <c r="L103" s="5" t="s">
        <v>3567</v>
      </c>
      <c r="M103" t="s">
        <v>1425</v>
      </c>
      <c r="N103" t="s">
        <v>1425</v>
      </c>
      <c r="O103" t="s">
        <v>19</v>
      </c>
      <c r="P103" t="s">
        <v>17</v>
      </c>
      <c r="Q103" t="s">
        <v>91</v>
      </c>
      <c r="R103" t="s">
        <v>92</v>
      </c>
      <c r="S103" s="4">
        <v>5602256290228820</v>
      </c>
      <c r="T103" t="s">
        <v>93</v>
      </c>
      <c r="U103" s="1">
        <v>7763.79</v>
      </c>
      <c r="V103" s="1" t="s">
        <v>661</v>
      </c>
      <c r="W103" s="1" t="s">
        <v>1034</v>
      </c>
      <c r="X103" t="str">
        <f>IF(V103="","",VLOOKUP(V103,WMI!A:C,2,FALSE))</f>
        <v>Germany</v>
      </c>
      <c r="Y103" t="str">
        <f>IF(V103="","",VLOOKUP(V103,WMI!A:C,3,FALSE))</f>
        <v>BMW</v>
      </c>
      <c r="Z103">
        <f>IF(W103="","",VLOOKUP(W103,year!A:B,2,FALSE))</f>
        <v>2012</v>
      </c>
    </row>
    <row r="104" spans="1:26" x14ac:dyDescent="0.25">
      <c r="A104">
        <v>102</v>
      </c>
      <c r="B104" t="s">
        <v>1704</v>
      </c>
      <c r="C104" t="s">
        <v>2541</v>
      </c>
      <c r="D104" t="s">
        <v>2263</v>
      </c>
      <c r="E104" t="s">
        <v>1983</v>
      </c>
      <c r="F104" t="s">
        <v>2816</v>
      </c>
      <c r="G104" t="s">
        <v>1146</v>
      </c>
      <c r="H104" t="s">
        <v>3188</v>
      </c>
      <c r="I104" t="s">
        <v>3049</v>
      </c>
      <c r="J104" t="s">
        <v>3001</v>
      </c>
      <c r="K104" s="6" t="s">
        <v>3561</v>
      </c>
      <c r="L104" s="5" t="s">
        <v>3561</v>
      </c>
      <c r="M104" t="s">
        <v>1426</v>
      </c>
      <c r="N104" t="s">
        <v>1426</v>
      </c>
      <c r="O104" t="s">
        <v>19</v>
      </c>
      <c r="P104" t="s">
        <v>137</v>
      </c>
      <c r="Q104" t="s">
        <v>138</v>
      </c>
      <c r="R104" t="s">
        <v>139</v>
      </c>
      <c r="S104" s="4">
        <v>6.3340555681557197E+18</v>
      </c>
      <c r="T104" t="s">
        <v>140</v>
      </c>
      <c r="U104" s="1">
        <v>6613.91</v>
      </c>
      <c r="V104" s="1" t="s">
        <v>661</v>
      </c>
      <c r="W104" s="1" t="s">
        <v>1034</v>
      </c>
      <c r="X104" t="str">
        <f>IF(V104="","",VLOOKUP(V104,WMI!A:C,2,FALSE))</f>
        <v>Germany</v>
      </c>
      <c r="Y104" t="str">
        <f>IF(V104="","",VLOOKUP(V104,WMI!A:C,3,FALSE))</f>
        <v>BMW</v>
      </c>
      <c r="Z104">
        <f>IF(W104="","",VLOOKUP(W104,year!A:B,2,FALSE))</f>
        <v>2012</v>
      </c>
    </row>
    <row r="105" spans="1:26" x14ac:dyDescent="0.25">
      <c r="A105">
        <v>106</v>
      </c>
      <c r="B105" t="s">
        <v>1705</v>
      </c>
      <c r="C105" t="s">
        <v>2542</v>
      </c>
      <c r="D105" t="s">
        <v>2264</v>
      </c>
      <c r="E105" t="s">
        <v>1984</v>
      </c>
      <c r="F105" t="s">
        <v>2817</v>
      </c>
      <c r="G105" t="s">
        <v>1147</v>
      </c>
      <c r="H105" t="s">
        <v>3189</v>
      </c>
      <c r="I105" t="s">
        <v>3190</v>
      </c>
      <c r="J105" t="s">
        <v>3439</v>
      </c>
      <c r="K105" s="6" t="s">
        <v>3568</v>
      </c>
      <c r="L105" s="5" t="s">
        <v>3568</v>
      </c>
      <c r="M105" t="s">
        <v>1427</v>
      </c>
      <c r="N105" t="s">
        <v>1427</v>
      </c>
      <c r="O105" t="s">
        <v>19</v>
      </c>
      <c r="P105" t="s">
        <v>53</v>
      </c>
      <c r="Q105" t="s">
        <v>141</v>
      </c>
      <c r="R105" t="s">
        <v>142</v>
      </c>
      <c r="S105" s="4">
        <v>3545047245557280</v>
      </c>
      <c r="T105" t="s">
        <v>18</v>
      </c>
      <c r="U105" s="1">
        <v>6605.88</v>
      </c>
      <c r="V105" s="1" t="s">
        <v>661</v>
      </c>
      <c r="W105" s="1" t="s">
        <v>1034</v>
      </c>
      <c r="X105" t="str">
        <f>IF(V105="","",VLOOKUP(V105,WMI!A:C,2,FALSE))</f>
        <v>Germany</v>
      </c>
      <c r="Y105" t="str">
        <f>IF(V105="","",VLOOKUP(V105,WMI!A:C,3,FALSE))</f>
        <v>BMW</v>
      </c>
      <c r="Z105">
        <f>IF(W105="","",VLOOKUP(W105,year!A:B,2,FALSE))</f>
        <v>2012</v>
      </c>
    </row>
    <row r="106" spans="1:26" x14ac:dyDescent="0.25">
      <c r="A106">
        <v>204</v>
      </c>
      <c r="B106" t="s">
        <v>1706</v>
      </c>
      <c r="C106" t="s">
        <v>2543</v>
      </c>
      <c r="D106" t="s">
        <v>2265</v>
      </c>
      <c r="E106" t="s">
        <v>1985</v>
      </c>
      <c r="F106" t="s">
        <v>2818</v>
      </c>
      <c r="G106" t="s">
        <v>1148</v>
      </c>
      <c r="H106" t="s">
        <v>3191</v>
      </c>
      <c r="I106" t="s">
        <v>3117</v>
      </c>
      <c r="J106" t="s">
        <v>3446</v>
      </c>
      <c r="K106" s="6" t="s">
        <v>3569</v>
      </c>
      <c r="L106" s="5" t="s">
        <v>3569</v>
      </c>
      <c r="M106" t="s">
        <v>1428</v>
      </c>
      <c r="N106" t="s">
        <v>1428</v>
      </c>
      <c r="O106" t="s">
        <v>16</v>
      </c>
      <c r="P106" t="s">
        <v>49</v>
      </c>
      <c r="Q106" t="s">
        <v>215</v>
      </c>
      <c r="R106" t="s">
        <v>216</v>
      </c>
      <c r="S106" s="4">
        <v>6767279487355150</v>
      </c>
      <c r="T106" t="s">
        <v>140</v>
      </c>
      <c r="U106" s="1">
        <v>6799.72</v>
      </c>
      <c r="V106" s="1" t="s">
        <v>661</v>
      </c>
      <c r="W106" s="1" t="s">
        <v>1034</v>
      </c>
      <c r="X106" t="str">
        <f>IF(V106="","",VLOOKUP(V106,WMI!A:C,2,FALSE))</f>
        <v>Germany</v>
      </c>
      <c r="Y106" t="str">
        <f>IF(V106="","",VLOOKUP(V106,WMI!A:C,3,FALSE))</f>
        <v>BMW</v>
      </c>
      <c r="Z106">
        <f>IF(W106="","",VLOOKUP(W106,year!A:B,2,FALSE))</f>
        <v>2012</v>
      </c>
    </row>
    <row r="107" spans="1:26" x14ac:dyDescent="0.25">
      <c r="A107">
        <v>215</v>
      </c>
      <c r="B107" t="s">
        <v>1707</v>
      </c>
      <c r="C107" t="s">
        <v>2544</v>
      </c>
      <c r="D107" t="s">
        <v>2266</v>
      </c>
      <c r="E107" t="s">
        <v>1986</v>
      </c>
      <c r="F107" t="s">
        <v>2819</v>
      </c>
      <c r="G107" t="s">
        <v>1149</v>
      </c>
      <c r="H107" t="s">
        <v>3192</v>
      </c>
      <c r="I107" t="s">
        <v>3018</v>
      </c>
      <c r="J107" t="s">
        <v>3440</v>
      </c>
      <c r="K107" s="6" t="s">
        <v>3570</v>
      </c>
      <c r="L107" s="5" t="s">
        <v>3570</v>
      </c>
      <c r="M107" t="s">
        <v>1429</v>
      </c>
      <c r="N107" t="s">
        <v>1429</v>
      </c>
      <c r="O107" t="s">
        <v>16</v>
      </c>
      <c r="P107" t="s">
        <v>107</v>
      </c>
      <c r="Q107" t="s">
        <v>219</v>
      </c>
      <c r="R107" t="s">
        <v>220</v>
      </c>
      <c r="S107" s="4">
        <v>5.6418213003769897E+18</v>
      </c>
      <c r="T107" t="s">
        <v>29</v>
      </c>
      <c r="U107" s="1">
        <v>9779.77</v>
      </c>
      <c r="V107" s="1" t="s">
        <v>661</v>
      </c>
      <c r="W107" s="1" t="s">
        <v>1034</v>
      </c>
      <c r="X107" t="str">
        <f>IF(V107="","",VLOOKUP(V107,WMI!A:C,2,FALSE))</f>
        <v>Germany</v>
      </c>
      <c r="Y107" t="str">
        <f>IF(V107="","",VLOOKUP(V107,WMI!A:C,3,FALSE))</f>
        <v>BMW</v>
      </c>
      <c r="Z107">
        <f>IF(W107="","",VLOOKUP(W107,year!A:B,2,FALSE))</f>
        <v>2012</v>
      </c>
    </row>
    <row r="108" spans="1:26" x14ac:dyDescent="0.25">
      <c r="A108">
        <v>230</v>
      </c>
      <c r="B108" t="s">
        <v>1708</v>
      </c>
      <c r="C108" t="s">
        <v>2545</v>
      </c>
      <c r="D108" t="s">
        <v>2267</v>
      </c>
      <c r="E108" t="s">
        <v>1987</v>
      </c>
      <c r="F108" t="s">
        <v>2820</v>
      </c>
      <c r="G108" t="s">
        <v>1150</v>
      </c>
      <c r="H108" t="s">
        <v>3193</v>
      </c>
      <c r="I108" t="s">
        <v>3194</v>
      </c>
      <c r="J108" t="s">
        <v>3445</v>
      </c>
      <c r="K108" s="6" t="s">
        <v>3571</v>
      </c>
      <c r="L108" s="5" t="s">
        <v>3571</v>
      </c>
      <c r="M108" t="s">
        <v>1430</v>
      </c>
      <c r="N108" t="s">
        <v>1430</v>
      </c>
      <c r="O108" t="s">
        <v>19</v>
      </c>
      <c r="P108" t="s">
        <v>156</v>
      </c>
      <c r="Q108" t="s">
        <v>117</v>
      </c>
      <c r="R108" t="s">
        <v>235</v>
      </c>
      <c r="S108" s="4">
        <v>5.6418297038667203E+18</v>
      </c>
      <c r="T108" t="s">
        <v>29</v>
      </c>
      <c r="U108" s="1">
        <v>5034.13</v>
      </c>
      <c r="V108" s="1" t="s">
        <v>661</v>
      </c>
      <c r="W108" s="1" t="s">
        <v>1034</v>
      </c>
      <c r="X108" t="str">
        <f>IF(V108="","",VLOOKUP(V108,WMI!A:C,2,FALSE))</f>
        <v>Germany</v>
      </c>
      <c r="Y108" t="str">
        <f>IF(V108="","",VLOOKUP(V108,WMI!A:C,3,FALSE))</f>
        <v>BMW</v>
      </c>
      <c r="Z108">
        <f>IF(W108="","",VLOOKUP(W108,year!A:B,2,FALSE))</f>
        <v>2012</v>
      </c>
    </row>
    <row r="109" spans="1:26" x14ac:dyDescent="0.25">
      <c r="A109">
        <v>489</v>
      </c>
      <c r="B109" t="s">
        <v>1709</v>
      </c>
      <c r="C109" t="s">
        <v>2546</v>
      </c>
      <c r="D109" t="s">
        <v>2268</v>
      </c>
      <c r="E109" t="s">
        <v>1988</v>
      </c>
      <c r="F109" t="s">
        <v>2821</v>
      </c>
      <c r="G109" t="s">
        <v>1151</v>
      </c>
      <c r="H109" t="s">
        <v>3195</v>
      </c>
      <c r="I109" t="s">
        <v>3196</v>
      </c>
      <c r="J109" t="s">
        <v>3001</v>
      </c>
      <c r="K109" s="6" t="s">
        <v>3572</v>
      </c>
      <c r="L109" s="5" t="s">
        <v>3572</v>
      </c>
      <c r="M109" t="s">
        <v>1431</v>
      </c>
      <c r="N109" t="s">
        <v>1431</v>
      </c>
      <c r="O109" t="s">
        <v>19</v>
      </c>
      <c r="P109" t="s">
        <v>24</v>
      </c>
      <c r="Q109" t="s">
        <v>110</v>
      </c>
      <c r="R109" t="s">
        <v>364</v>
      </c>
      <c r="S109" s="4">
        <v>3570741811711180</v>
      </c>
      <c r="T109" t="s">
        <v>18</v>
      </c>
      <c r="U109" s="1">
        <v>8235.9500000000007</v>
      </c>
      <c r="V109" s="1" t="s">
        <v>661</v>
      </c>
      <c r="W109" s="1" t="s">
        <v>1034</v>
      </c>
      <c r="X109" t="str">
        <f>IF(V109="","",VLOOKUP(V109,WMI!A:C,2,FALSE))</f>
        <v>Germany</v>
      </c>
      <c r="Y109" t="str">
        <f>IF(V109="","",VLOOKUP(V109,WMI!A:C,3,FALSE))</f>
        <v>BMW</v>
      </c>
      <c r="Z109">
        <f>IF(W109="","",VLOOKUP(W109,year!A:B,2,FALSE))</f>
        <v>2012</v>
      </c>
    </row>
    <row r="110" spans="1:26" x14ac:dyDescent="0.25">
      <c r="A110">
        <v>495</v>
      </c>
      <c r="B110" t="s">
        <v>1710</v>
      </c>
      <c r="C110" t="s">
        <v>2547</v>
      </c>
      <c r="D110" t="s">
        <v>2269</v>
      </c>
      <c r="E110" t="s">
        <v>1989</v>
      </c>
      <c r="F110" t="s">
        <v>2822</v>
      </c>
      <c r="G110" t="s">
        <v>1152</v>
      </c>
      <c r="H110" t="s">
        <v>3197</v>
      </c>
      <c r="I110" t="s">
        <v>3094</v>
      </c>
      <c r="J110" t="s">
        <v>3002</v>
      </c>
      <c r="K110" s="6" t="s">
        <v>3573</v>
      </c>
      <c r="L110" s="5" t="s">
        <v>3573</v>
      </c>
      <c r="M110" t="s">
        <v>1432</v>
      </c>
      <c r="N110" t="s">
        <v>1432</v>
      </c>
      <c r="O110" t="s">
        <v>16</v>
      </c>
      <c r="P110" t="s">
        <v>107</v>
      </c>
      <c r="Q110" t="s">
        <v>366</v>
      </c>
      <c r="R110" t="s">
        <v>367</v>
      </c>
      <c r="S110" s="4">
        <v>4041377897236</v>
      </c>
      <c r="T110" t="s">
        <v>119</v>
      </c>
      <c r="U110" s="1">
        <v>5916.33</v>
      </c>
      <c r="V110" s="1" t="s">
        <v>661</v>
      </c>
      <c r="W110" s="1" t="s">
        <v>1034</v>
      </c>
      <c r="X110" t="str">
        <f>IF(V110="","",VLOOKUP(V110,WMI!A:C,2,FALSE))</f>
        <v>Germany</v>
      </c>
      <c r="Y110" t="str">
        <f>IF(V110="","",VLOOKUP(V110,WMI!A:C,3,FALSE))</f>
        <v>BMW</v>
      </c>
      <c r="Z110">
        <f>IF(W110="","",VLOOKUP(W110,year!A:B,2,FALSE))</f>
        <v>2012</v>
      </c>
    </row>
    <row r="111" spans="1:26" x14ac:dyDescent="0.25">
      <c r="A111">
        <v>554</v>
      </c>
      <c r="B111" t="s">
        <v>1711</v>
      </c>
      <c r="C111" t="s">
        <v>2548</v>
      </c>
      <c r="D111" t="s">
        <v>2270</v>
      </c>
      <c r="E111" t="s">
        <v>1990</v>
      </c>
      <c r="F111" t="s">
        <v>2823</v>
      </c>
      <c r="G111" t="s">
        <v>1153</v>
      </c>
      <c r="H111" t="s">
        <v>3198</v>
      </c>
      <c r="I111" t="s">
        <v>3117</v>
      </c>
      <c r="J111" t="s">
        <v>3446</v>
      </c>
      <c r="K111" s="6" t="s">
        <v>3574</v>
      </c>
      <c r="L111" s="5" t="s">
        <v>3574</v>
      </c>
      <c r="M111" t="s">
        <v>1433</v>
      </c>
      <c r="N111" t="s">
        <v>1433</v>
      </c>
      <c r="O111" t="s">
        <v>16</v>
      </c>
      <c r="P111" t="s">
        <v>17</v>
      </c>
      <c r="Q111" t="s">
        <v>286</v>
      </c>
      <c r="R111" t="s">
        <v>392</v>
      </c>
      <c r="S111" s="4">
        <v>4041376894831450</v>
      </c>
      <c r="T111" t="s">
        <v>119</v>
      </c>
      <c r="U111" s="1">
        <v>6102.73</v>
      </c>
      <c r="V111" s="1" t="s">
        <v>661</v>
      </c>
      <c r="W111" s="1" t="s">
        <v>1034</v>
      </c>
      <c r="X111" t="str">
        <f>IF(V111="","",VLOOKUP(V111,WMI!A:C,2,FALSE))</f>
        <v>Germany</v>
      </c>
      <c r="Y111" t="str">
        <f>IF(V111="","",VLOOKUP(V111,WMI!A:C,3,FALSE))</f>
        <v>BMW</v>
      </c>
      <c r="Z111">
        <f>IF(W111="","",VLOOKUP(W111,year!A:B,2,FALSE))</f>
        <v>2012</v>
      </c>
    </row>
    <row r="112" spans="1:26" x14ac:dyDescent="0.25">
      <c r="A112">
        <v>731</v>
      </c>
      <c r="B112" t="s">
        <v>1712</v>
      </c>
      <c r="C112" t="s">
        <v>2549</v>
      </c>
      <c r="D112" t="s">
        <v>2271</v>
      </c>
      <c r="E112" t="s">
        <v>1991</v>
      </c>
      <c r="F112" t="s">
        <v>2824</v>
      </c>
      <c r="G112" t="s">
        <v>1154</v>
      </c>
      <c r="H112" t="s">
        <v>3199</v>
      </c>
      <c r="I112" t="s">
        <v>3037</v>
      </c>
      <c r="J112" t="s">
        <v>3438</v>
      </c>
      <c r="K112" s="6" t="s">
        <v>3575</v>
      </c>
      <c r="L112" s="5" t="s">
        <v>3575</v>
      </c>
      <c r="M112" t="s">
        <v>1434</v>
      </c>
      <c r="N112" t="s">
        <v>1434</v>
      </c>
      <c r="O112" t="s">
        <v>19</v>
      </c>
      <c r="P112" t="s">
        <v>17</v>
      </c>
      <c r="Q112" t="s">
        <v>472</v>
      </c>
      <c r="R112" t="s">
        <v>473</v>
      </c>
      <c r="S112" s="4">
        <v>3566060468066480</v>
      </c>
      <c r="T112" t="s">
        <v>18</v>
      </c>
      <c r="U112" s="1">
        <v>5799.89</v>
      </c>
      <c r="V112" s="1" t="s">
        <v>661</v>
      </c>
      <c r="W112" s="1" t="s">
        <v>1034</v>
      </c>
      <c r="X112" t="str">
        <f>IF(V112="","",VLOOKUP(V112,WMI!A:C,2,FALSE))</f>
        <v>Germany</v>
      </c>
      <c r="Y112" t="str">
        <f>IF(V112="","",VLOOKUP(V112,WMI!A:C,3,FALSE))</f>
        <v>BMW</v>
      </c>
      <c r="Z112">
        <f>IF(W112="","",VLOOKUP(W112,year!A:B,2,FALSE))</f>
        <v>2012</v>
      </c>
    </row>
    <row r="113" spans="1:26" x14ac:dyDescent="0.25">
      <c r="A113">
        <v>793</v>
      </c>
      <c r="B113" t="s">
        <v>1713</v>
      </c>
      <c r="C113" t="s">
        <v>2550</v>
      </c>
      <c r="D113" t="s">
        <v>2272</v>
      </c>
      <c r="E113" t="s">
        <v>1992</v>
      </c>
      <c r="F113" t="s">
        <v>2825</v>
      </c>
      <c r="G113" t="s">
        <v>1155</v>
      </c>
      <c r="H113" t="s">
        <v>3200</v>
      </c>
      <c r="I113" t="s">
        <v>3201</v>
      </c>
      <c r="J113" t="s">
        <v>3452</v>
      </c>
      <c r="K113" s="6" t="s">
        <v>3576</v>
      </c>
      <c r="L113" s="5" t="s">
        <v>3576</v>
      </c>
      <c r="M113" t="s">
        <v>1435</v>
      </c>
      <c r="N113" t="s">
        <v>1435</v>
      </c>
      <c r="O113" t="s">
        <v>19</v>
      </c>
      <c r="P113" t="s">
        <v>107</v>
      </c>
      <c r="Q113" t="s">
        <v>108</v>
      </c>
      <c r="R113" t="s">
        <v>500</v>
      </c>
      <c r="S113" s="4">
        <v>6759351097172380</v>
      </c>
      <c r="T113" t="s">
        <v>29</v>
      </c>
      <c r="U113" s="1">
        <v>5178.7700000000004</v>
      </c>
      <c r="V113" s="1" t="s">
        <v>661</v>
      </c>
      <c r="W113" s="1" t="s">
        <v>1034</v>
      </c>
      <c r="X113" t="str">
        <f>IF(V113="","",VLOOKUP(V113,WMI!A:C,2,FALSE))</f>
        <v>Germany</v>
      </c>
      <c r="Y113" t="str">
        <f>IF(V113="","",VLOOKUP(V113,WMI!A:C,3,FALSE))</f>
        <v>BMW</v>
      </c>
      <c r="Z113">
        <f>IF(W113="","",VLOOKUP(W113,year!A:B,2,FALSE))</f>
        <v>2012</v>
      </c>
    </row>
    <row r="114" spans="1:26" x14ac:dyDescent="0.25">
      <c r="A114">
        <v>811</v>
      </c>
      <c r="B114" t="s">
        <v>1714</v>
      </c>
      <c r="C114" t="s">
        <v>2551</v>
      </c>
      <c r="D114" t="s">
        <v>2273</v>
      </c>
      <c r="E114" t="s">
        <v>1993</v>
      </c>
      <c r="F114" t="s">
        <v>2826</v>
      </c>
      <c r="G114" t="s">
        <v>1156</v>
      </c>
      <c r="H114" t="s">
        <v>3202</v>
      </c>
      <c r="I114" t="s">
        <v>3146</v>
      </c>
      <c r="J114" t="s">
        <v>2993</v>
      </c>
      <c r="K114" s="6" t="s">
        <v>3577</v>
      </c>
      <c r="L114" s="5" t="s">
        <v>3577</v>
      </c>
      <c r="M114" t="s">
        <v>1436</v>
      </c>
      <c r="N114" t="s">
        <v>1436</v>
      </c>
      <c r="O114" t="s">
        <v>16</v>
      </c>
      <c r="P114" t="s">
        <v>61</v>
      </c>
      <c r="Q114" t="s">
        <v>386</v>
      </c>
      <c r="R114" t="s">
        <v>507</v>
      </c>
      <c r="S114" s="4">
        <v>5465659453085520</v>
      </c>
      <c r="T114" t="s">
        <v>23</v>
      </c>
      <c r="U114" s="1">
        <v>5074.55</v>
      </c>
      <c r="V114" s="1" t="s">
        <v>661</v>
      </c>
      <c r="W114" s="1" t="s">
        <v>1034</v>
      </c>
      <c r="X114" t="str">
        <f>IF(V114="","",VLOOKUP(V114,WMI!A:C,2,FALSE))</f>
        <v>Germany</v>
      </c>
      <c r="Y114" t="str">
        <f>IF(V114="","",VLOOKUP(V114,WMI!A:C,3,FALSE))</f>
        <v>BMW</v>
      </c>
      <c r="Z114">
        <f>IF(W114="","",VLOOKUP(W114,year!A:B,2,FALSE))</f>
        <v>2012</v>
      </c>
    </row>
    <row r="115" spans="1:26" x14ac:dyDescent="0.25">
      <c r="A115">
        <v>858</v>
      </c>
      <c r="B115" t="s">
        <v>1715</v>
      </c>
      <c r="C115" t="s">
        <v>2552</v>
      </c>
      <c r="D115" t="s">
        <v>2274</v>
      </c>
      <c r="E115" t="s">
        <v>1994</v>
      </c>
      <c r="F115" t="s">
        <v>2827</v>
      </c>
      <c r="G115" t="s">
        <v>1157</v>
      </c>
      <c r="H115" t="s">
        <v>3203</v>
      </c>
      <c r="I115" t="s">
        <v>3204</v>
      </c>
      <c r="J115" t="s">
        <v>3439</v>
      </c>
      <c r="K115" s="6" t="s">
        <v>3578</v>
      </c>
      <c r="L115" s="5" t="s">
        <v>3578</v>
      </c>
      <c r="M115" t="s">
        <v>1437</v>
      </c>
      <c r="N115" t="s">
        <v>1437</v>
      </c>
      <c r="O115" t="s">
        <v>19</v>
      </c>
      <c r="P115" t="s">
        <v>39</v>
      </c>
      <c r="Q115" t="s">
        <v>470</v>
      </c>
      <c r="R115" t="s">
        <v>520</v>
      </c>
      <c r="S115" s="4">
        <v>3536492915097480</v>
      </c>
      <c r="T115" t="s">
        <v>18</v>
      </c>
      <c r="U115" s="1">
        <v>6195.35</v>
      </c>
      <c r="V115" s="1" t="s">
        <v>661</v>
      </c>
      <c r="W115" s="1" t="s">
        <v>1034</v>
      </c>
      <c r="X115" t="str">
        <f>IF(V115="","",VLOOKUP(V115,WMI!A:C,2,FALSE))</f>
        <v>Germany</v>
      </c>
      <c r="Y115" t="str">
        <f>IF(V115="","",VLOOKUP(V115,WMI!A:C,3,FALSE))</f>
        <v>BMW</v>
      </c>
      <c r="Z115">
        <f>IF(W115="","",VLOOKUP(W115,year!A:B,2,FALSE))</f>
        <v>2012</v>
      </c>
    </row>
    <row r="116" spans="1:26" x14ac:dyDescent="0.25">
      <c r="A116">
        <v>872</v>
      </c>
      <c r="B116" t="s">
        <v>1716</v>
      </c>
      <c r="C116" t="s">
        <v>2553</v>
      </c>
      <c r="D116" t="s">
        <v>2275</v>
      </c>
      <c r="E116" t="s">
        <v>1995</v>
      </c>
      <c r="F116" t="s">
        <v>2828</v>
      </c>
      <c r="G116" t="s">
        <v>1158</v>
      </c>
      <c r="H116" t="s">
        <v>3205</v>
      </c>
      <c r="I116" t="s">
        <v>3196</v>
      </c>
      <c r="J116" t="s">
        <v>3001</v>
      </c>
      <c r="K116" s="6" t="s">
        <v>3579</v>
      </c>
      <c r="L116" s="5" t="s">
        <v>3579</v>
      </c>
      <c r="M116" t="s">
        <v>1438</v>
      </c>
      <c r="N116" t="s">
        <v>1438</v>
      </c>
      <c r="O116" t="s">
        <v>19</v>
      </c>
      <c r="P116" t="s">
        <v>133</v>
      </c>
      <c r="Q116" t="s">
        <v>180</v>
      </c>
      <c r="R116" t="s">
        <v>527</v>
      </c>
      <c r="S116" s="4">
        <v>4956407711752</v>
      </c>
      <c r="T116" t="s">
        <v>119</v>
      </c>
      <c r="U116" s="1">
        <v>6673.46</v>
      </c>
      <c r="V116" s="1" t="s">
        <v>661</v>
      </c>
      <c r="W116" s="1" t="s">
        <v>1034</v>
      </c>
      <c r="X116" t="str">
        <f>IF(V116="","",VLOOKUP(V116,WMI!A:C,2,FALSE))</f>
        <v>Germany</v>
      </c>
      <c r="Y116" t="str">
        <f>IF(V116="","",VLOOKUP(V116,WMI!A:C,3,FALSE))</f>
        <v>BMW</v>
      </c>
      <c r="Z116">
        <f>IF(W116="","",VLOOKUP(W116,year!A:B,2,FALSE))</f>
        <v>2012</v>
      </c>
    </row>
    <row r="117" spans="1:26" x14ac:dyDescent="0.25">
      <c r="A117">
        <v>683</v>
      </c>
      <c r="B117" t="s">
        <v>1717</v>
      </c>
      <c r="C117" t="s">
        <v>2554</v>
      </c>
      <c r="D117" t="s">
        <v>2276</v>
      </c>
      <c r="E117" t="s">
        <v>1996</v>
      </c>
      <c r="F117" t="s">
        <v>2829</v>
      </c>
      <c r="G117" t="s">
        <v>1159</v>
      </c>
      <c r="H117" t="s">
        <v>3206</v>
      </c>
      <c r="I117" t="s">
        <v>3000</v>
      </c>
      <c r="J117" t="s">
        <v>3465</v>
      </c>
      <c r="K117" s="6" t="s">
        <v>3580</v>
      </c>
      <c r="L117" s="5" t="s">
        <v>3580</v>
      </c>
      <c r="M117" t="s">
        <v>1439</v>
      </c>
      <c r="N117" t="s">
        <v>1439</v>
      </c>
      <c r="O117" t="s">
        <v>19</v>
      </c>
      <c r="P117" t="s">
        <v>49</v>
      </c>
      <c r="Q117" t="s">
        <v>452</v>
      </c>
      <c r="R117" t="s">
        <v>453</v>
      </c>
      <c r="S117" s="4">
        <v>3556988732961720</v>
      </c>
      <c r="T117" t="s">
        <v>18</v>
      </c>
      <c r="U117" s="1">
        <v>5301.69</v>
      </c>
      <c r="V117" s="1" t="s">
        <v>665</v>
      </c>
      <c r="W117" s="1" t="s">
        <v>1034</v>
      </c>
      <c r="X117" t="str">
        <f>IF(V117="","",VLOOKUP(V117,WMI!A:C,2,FALSE))</f>
        <v>Germany</v>
      </c>
      <c r="Y117" t="str">
        <f>IF(V117="","",VLOOKUP(V117,WMI!A:C,3,FALSE))</f>
        <v>DaimlerChrysler AG/Daimler AG</v>
      </c>
      <c r="Z117">
        <f>IF(W117="","",VLOOKUP(W117,year!A:B,2,FALSE))</f>
        <v>2012</v>
      </c>
    </row>
    <row r="118" spans="1:26" x14ac:dyDescent="0.25">
      <c r="A118">
        <v>252</v>
      </c>
      <c r="B118" t="s">
        <v>1718</v>
      </c>
      <c r="C118" t="s">
        <v>2555</v>
      </c>
      <c r="D118" t="s">
        <v>2277</v>
      </c>
      <c r="E118" t="s">
        <v>1997</v>
      </c>
      <c r="F118" t="s">
        <v>2830</v>
      </c>
      <c r="G118" t="s">
        <v>1160</v>
      </c>
      <c r="H118" t="s">
        <v>3207</v>
      </c>
      <c r="I118" t="s">
        <v>3049</v>
      </c>
      <c r="J118" t="s">
        <v>3001</v>
      </c>
      <c r="K118" s="6" t="s">
        <v>3581</v>
      </c>
      <c r="L118" s="5" t="s">
        <v>3581</v>
      </c>
      <c r="M118" t="s">
        <v>1440</v>
      </c>
      <c r="N118" t="s">
        <v>1440</v>
      </c>
      <c r="O118" t="s">
        <v>16</v>
      </c>
      <c r="P118" t="s">
        <v>107</v>
      </c>
      <c r="Q118" t="s">
        <v>254</v>
      </c>
      <c r="R118" t="s">
        <v>255</v>
      </c>
      <c r="S118" s="4">
        <v>3532396073163220</v>
      </c>
      <c r="T118" t="s">
        <v>18</v>
      </c>
      <c r="U118" s="1">
        <v>7518.45</v>
      </c>
      <c r="V118" s="1" t="s">
        <v>666</v>
      </c>
      <c r="W118" s="1" t="s">
        <v>1034</v>
      </c>
      <c r="X118" t="str">
        <f>IF(V118="","",VLOOKUP(V118,WMI!A:C,2,FALSE))</f>
        <v>Germany</v>
      </c>
      <c r="Y118" t="str">
        <f>IF(V118="","",VLOOKUP(V118,WMI!A:C,3,FALSE))</f>
        <v>DaimlerChrysler AG/Daimler AG</v>
      </c>
      <c r="Z118">
        <f>IF(W118="","",VLOOKUP(W118,year!A:B,2,FALSE))</f>
        <v>2012</v>
      </c>
    </row>
    <row r="119" spans="1:26" x14ac:dyDescent="0.25">
      <c r="A119">
        <v>261</v>
      </c>
      <c r="B119" t="s">
        <v>1719</v>
      </c>
      <c r="C119" t="s">
        <v>2556</v>
      </c>
      <c r="D119" t="s">
        <v>2278</v>
      </c>
      <c r="E119" t="s">
        <v>1998</v>
      </c>
      <c r="F119" t="s">
        <v>2831</v>
      </c>
      <c r="G119" t="s">
        <v>1161</v>
      </c>
      <c r="H119" t="s">
        <v>3208</v>
      </c>
      <c r="I119" t="s">
        <v>3043</v>
      </c>
      <c r="J119" t="s">
        <v>2994</v>
      </c>
      <c r="K119" s="6" t="s">
        <v>3582</v>
      </c>
      <c r="L119" s="5" t="s">
        <v>3582</v>
      </c>
      <c r="M119" t="s">
        <v>1441</v>
      </c>
      <c r="N119" t="s">
        <v>1441</v>
      </c>
      <c r="O119" t="s">
        <v>19</v>
      </c>
      <c r="P119" t="s">
        <v>49</v>
      </c>
      <c r="Q119" t="s">
        <v>178</v>
      </c>
      <c r="R119" t="s">
        <v>261</v>
      </c>
      <c r="S119" s="4">
        <v>5048370025789930</v>
      </c>
      <c r="T119" t="s">
        <v>23</v>
      </c>
      <c r="U119" s="1">
        <v>9653.7099999999991</v>
      </c>
      <c r="V119" s="1" t="s">
        <v>666</v>
      </c>
      <c r="W119" s="1" t="s">
        <v>1034</v>
      </c>
      <c r="X119" t="str">
        <f>IF(V119="","",VLOOKUP(V119,WMI!A:C,2,FALSE))</f>
        <v>Germany</v>
      </c>
      <c r="Y119" t="str">
        <f>IF(V119="","",VLOOKUP(V119,WMI!A:C,3,FALSE))</f>
        <v>DaimlerChrysler AG/Daimler AG</v>
      </c>
      <c r="Z119">
        <f>IF(W119="","",VLOOKUP(W119,year!A:B,2,FALSE))</f>
        <v>2012</v>
      </c>
    </row>
    <row r="120" spans="1:26" x14ac:dyDescent="0.25">
      <c r="A120">
        <v>770</v>
      </c>
      <c r="B120" t="s">
        <v>1720</v>
      </c>
      <c r="C120" t="s">
        <v>2557</v>
      </c>
      <c r="D120" t="s">
        <v>2279</v>
      </c>
      <c r="E120" t="s">
        <v>1999</v>
      </c>
      <c r="F120" t="s">
        <v>2832</v>
      </c>
      <c r="G120" t="s">
        <v>1162</v>
      </c>
      <c r="H120" t="s">
        <v>3209</v>
      </c>
      <c r="I120" t="s">
        <v>3210</v>
      </c>
      <c r="J120" t="s">
        <v>3440</v>
      </c>
      <c r="K120" s="6" t="s">
        <v>3583</v>
      </c>
      <c r="L120" s="5" t="s">
        <v>3583</v>
      </c>
      <c r="M120" t="s">
        <v>1442</v>
      </c>
      <c r="N120" t="s">
        <v>1442</v>
      </c>
      <c r="O120" t="s">
        <v>19</v>
      </c>
      <c r="P120" t="s">
        <v>55</v>
      </c>
      <c r="Q120" t="s">
        <v>334</v>
      </c>
      <c r="R120" t="s">
        <v>487</v>
      </c>
      <c r="S120" s="4">
        <v>3575067837769780</v>
      </c>
      <c r="T120" t="s">
        <v>18</v>
      </c>
      <c r="U120" s="1">
        <v>9768.09</v>
      </c>
      <c r="V120" s="1" t="s">
        <v>666</v>
      </c>
      <c r="W120" s="1" t="s">
        <v>1034</v>
      </c>
      <c r="X120" t="str">
        <f>IF(V120="","",VLOOKUP(V120,WMI!A:C,2,FALSE))</f>
        <v>Germany</v>
      </c>
      <c r="Y120" t="str">
        <f>IF(V120="","",VLOOKUP(V120,WMI!A:C,3,FALSE))</f>
        <v>DaimlerChrysler AG/Daimler AG</v>
      </c>
      <c r="Z120">
        <f>IF(W120="","",VLOOKUP(W120,year!A:B,2,FALSE))</f>
        <v>2012</v>
      </c>
    </row>
    <row r="121" spans="1:26" x14ac:dyDescent="0.25">
      <c r="A121">
        <v>29</v>
      </c>
      <c r="B121" t="s">
        <v>1721</v>
      </c>
      <c r="C121" t="s">
        <v>2558</v>
      </c>
      <c r="D121" t="s">
        <v>2280</v>
      </c>
      <c r="E121" t="s">
        <v>2000</v>
      </c>
      <c r="F121" t="s">
        <v>2833</v>
      </c>
      <c r="G121" t="s">
        <v>1163</v>
      </c>
      <c r="H121" t="s">
        <v>3211</v>
      </c>
      <c r="I121" t="s">
        <v>3212</v>
      </c>
      <c r="J121" t="s">
        <v>3444</v>
      </c>
      <c r="K121" s="6" t="s">
        <v>3584</v>
      </c>
      <c r="L121" s="5" t="s">
        <v>3584</v>
      </c>
      <c r="M121" t="s">
        <v>1443</v>
      </c>
      <c r="N121" t="s">
        <v>1443</v>
      </c>
      <c r="O121" t="s">
        <v>16</v>
      </c>
      <c r="P121" t="s">
        <v>69</v>
      </c>
      <c r="Q121" t="s">
        <v>70</v>
      </c>
      <c r="R121" t="s">
        <v>71</v>
      </c>
      <c r="S121" s="4">
        <v>3529228777040690</v>
      </c>
      <c r="T121" t="s">
        <v>18</v>
      </c>
      <c r="U121" s="1">
        <v>5248.47</v>
      </c>
      <c r="V121" s="1" t="s">
        <v>675</v>
      </c>
      <c r="W121" s="1" t="s">
        <v>1034</v>
      </c>
      <c r="X121" t="str">
        <f>IF(V121="","",VLOOKUP(V121,WMI!A:C,2,FALSE))</f>
        <v>Germany</v>
      </c>
      <c r="Y121" t="str">
        <f>IF(V121="","",VLOOKUP(V121,WMI!A:C,3,FALSE))</f>
        <v>Porsche car</v>
      </c>
      <c r="Z121">
        <f>IF(W121="","",VLOOKUP(W121,year!A:B,2,FALSE))</f>
        <v>2012</v>
      </c>
    </row>
    <row r="122" spans="1:26" x14ac:dyDescent="0.25">
      <c r="A122">
        <v>419</v>
      </c>
      <c r="B122" t="s">
        <v>1722</v>
      </c>
      <c r="C122" t="s">
        <v>2559</v>
      </c>
      <c r="D122" t="s">
        <v>2281</v>
      </c>
      <c r="E122" t="s">
        <v>2001</v>
      </c>
      <c r="F122" t="s">
        <v>2834</v>
      </c>
      <c r="G122" t="s">
        <v>1164</v>
      </c>
      <c r="H122" t="s">
        <v>3213</v>
      </c>
      <c r="I122" t="s">
        <v>3148</v>
      </c>
      <c r="J122" t="s">
        <v>2993</v>
      </c>
      <c r="K122" s="6" t="s">
        <v>3585</v>
      </c>
      <c r="L122" s="5" t="s">
        <v>3585</v>
      </c>
      <c r="M122" t="s">
        <v>1444</v>
      </c>
      <c r="N122" t="s">
        <v>1444</v>
      </c>
      <c r="O122" t="s">
        <v>16</v>
      </c>
      <c r="P122" t="s">
        <v>208</v>
      </c>
      <c r="Q122" t="s">
        <v>339</v>
      </c>
      <c r="R122" t="s">
        <v>340</v>
      </c>
      <c r="S122" s="4">
        <v>3564515305503650</v>
      </c>
      <c r="T122" t="s">
        <v>18</v>
      </c>
      <c r="U122" s="1">
        <v>7763.24</v>
      </c>
      <c r="V122" s="1" t="s">
        <v>675</v>
      </c>
      <c r="W122" s="1" t="s">
        <v>1034</v>
      </c>
      <c r="X122" t="str">
        <f>IF(V122="","",VLOOKUP(V122,WMI!A:C,2,FALSE))</f>
        <v>Germany</v>
      </c>
      <c r="Y122" t="str">
        <f>IF(V122="","",VLOOKUP(V122,WMI!A:C,3,FALSE))</f>
        <v>Porsche car</v>
      </c>
      <c r="Z122">
        <f>IF(W122="","",VLOOKUP(W122,year!A:B,2,FALSE))</f>
        <v>2012</v>
      </c>
    </row>
    <row r="123" spans="1:26" x14ac:dyDescent="0.25">
      <c r="A123">
        <v>572</v>
      </c>
      <c r="B123" t="s">
        <v>1723</v>
      </c>
      <c r="C123" t="s">
        <v>2560</v>
      </c>
      <c r="D123" t="s">
        <v>2282</v>
      </c>
      <c r="E123" t="s">
        <v>2002</v>
      </c>
      <c r="F123" t="s">
        <v>2835</v>
      </c>
      <c r="G123" t="s">
        <v>1165</v>
      </c>
      <c r="H123" t="s">
        <v>3214</v>
      </c>
      <c r="I123" t="s">
        <v>3215</v>
      </c>
      <c r="J123" t="s">
        <v>3439</v>
      </c>
      <c r="K123" s="6" t="s">
        <v>3586</v>
      </c>
      <c r="L123" s="5" t="s">
        <v>3586</v>
      </c>
      <c r="M123" t="s">
        <v>1445</v>
      </c>
      <c r="N123" t="s">
        <v>1445</v>
      </c>
      <c r="O123" t="s">
        <v>16</v>
      </c>
      <c r="P123" t="s">
        <v>53</v>
      </c>
      <c r="Q123" t="s">
        <v>400</v>
      </c>
      <c r="R123" t="s">
        <v>401</v>
      </c>
      <c r="S123" s="4">
        <v>3547514676394090</v>
      </c>
      <c r="T123" t="s">
        <v>18</v>
      </c>
      <c r="U123" s="1">
        <v>5666.31</v>
      </c>
      <c r="V123" s="1" t="s">
        <v>675</v>
      </c>
      <c r="W123" s="1" t="s">
        <v>1034</v>
      </c>
      <c r="X123" t="str">
        <f>IF(V123="","",VLOOKUP(V123,WMI!A:C,2,FALSE))</f>
        <v>Germany</v>
      </c>
      <c r="Y123" t="str">
        <f>IF(V123="","",VLOOKUP(V123,WMI!A:C,3,FALSE))</f>
        <v>Porsche car</v>
      </c>
      <c r="Z123">
        <f>IF(W123="","",VLOOKUP(W123,year!A:B,2,FALSE))</f>
        <v>2012</v>
      </c>
    </row>
    <row r="124" spans="1:26" x14ac:dyDescent="0.25">
      <c r="A124">
        <v>784</v>
      </c>
      <c r="B124" t="s">
        <v>1724</v>
      </c>
      <c r="C124" t="s">
        <v>2561</v>
      </c>
      <c r="D124" t="s">
        <v>2283</v>
      </c>
      <c r="E124" t="s">
        <v>2003</v>
      </c>
      <c r="F124" t="s">
        <v>2836</v>
      </c>
      <c r="G124" t="s">
        <v>1166</v>
      </c>
      <c r="H124" t="s">
        <v>3216</v>
      </c>
      <c r="I124" t="s">
        <v>3217</v>
      </c>
      <c r="J124" t="s">
        <v>3466</v>
      </c>
      <c r="K124" s="6" t="s">
        <v>3587</v>
      </c>
      <c r="L124" s="5" t="s">
        <v>3587</v>
      </c>
      <c r="M124" t="s">
        <v>1446</v>
      </c>
      <c r="N124" t="s">
        <v>1446</v>
      </c>
      <c r="O124" t="s">
        <v>16</v>
      </c>
      <c r="P124" t="s">
        <v>336</v>
      </c>
      <c r="Q124">
        <v>62</v>
      </c>
      <c r="R124" t="s">
        <v>494</v>
      </c>
      <c r="S124" s="4">
        <v>201522485758627</v>
      </c>
      <c r="T124" t="s">
        <v>28</v>
      </c>
      <c r="U124" s="1">
        <v>7839.89</v>
      </c>
      <c r="V124" s="1" t="s">
        <v>675</v>
      </c>
      <c r="W124" s="1" t="s">
        <v>1034</v>
      </c>
      <c r="X124" t="str">
        <f>IF(V124="","",VLOOKUP(V124,WMI!A:C,2,FALSE))</f>
        <v>Germany</v>
      </c>
      <c r="Y124" t="str">
        <f>IF(V124="","",VLOOKUP(V124,WMI!A:C,3,FALSE))</f>
        <v>Porsche car</v>
      </c>
      <c r="Z124">
        <f>IF(W124="","",VLOOKUP(W124,year!A:B,2,FALSE))</f>
        <v>2012</v>
      </c>
    </row>
    <row r="125" spans="1:26" x14ac:dyDescent="0.25">
      <c r="A125">
        <v>486</v>
      </c>
      <c r="B125" t="s">
        <v>1725</v>
      </c>
      <c r="C125" t="s">
        <v>2562</v>
      </c>
      <c r="D125" t="s">
        <v>2284</v>
      </c>
      <c r="E125" t="s">
        <v>2004</v>
      </c>
      <c r="F125" t="s">
        <v>2837</v>
      </c>
      <c r="G125" t="s">
        <v>1167</v>
      </c>
      <c r="H125" t="s">
        <v>3218</v>
      </c>
      <c r="I125" t="s">
        <v>3018</v>
      </c>
      <c r="J125" t="s">
        <v>3440</v>
      </c>
      <c r="K125" s="6" t="s">
        <v>3474</v>
      </c>
      <c r="L125" s="5" t="s">
        <v>3474</v>
      </c>
      <c r="M125" t="s">
        <v>1447</v>
      </c>
      <c r="N125" t="s">
        <v>1447</v>
      </c>
      <c r="O125" t="s">
        <v>16</v>
      </c>
      <c r="P125" t="s">
        <v>205</v>
      </c>
      <c r="Q125">
        <v>228</v>
      </c>
      <c r="R125" t="s">
        <v>363</v>
      </c>
      <c r="S125" s="4">
        <v>337941601868432</v>
      </c>
      <c r="T125" t="s">
        <v>48</v>
      </c>
      <c r="U125" s="1">
        <v>6121.5</v>
      </c>
      <c r="V125" s="1" t="s">
        <v>680</v>
      </c>
      <c r="W125" s="1" t="s">
        <v>1034</v>
      </c>
      <c r="X125" t="str">
        <f>IF(V125="","",VLOOKUP(V125,WMI!A:C,2,FALSE))</f>
        <v>Germany</v>
      </c>
      <c r="Y125" t="str">
        <f>IF(V125="","",VLOOKUP(V125,WMI!A:C,3,FALSE))</f>
        <v>Volkswagen</v>
      </c>
      <c r="Z125">
        <f>IF(W125="","",VLOOKUP(W125,year!A:B,2,FALSE))</f>
        <v>2012</v>
      </c>
    </row>
    <row r="126" spans="1:26" x14ac:dyDescent="0.25">
      <c r="A126">
        <v>9</v>
      </c>
      <c r="B126" t="s">
        <v>1726</v>
      </c>
      <c r="C126" t="s">
        <v>2563</v>
      </c>
      <c r="D126" t="s">
        <v>2285</v>
      </c>
      <c r="E126" t="s">
        <v>2005</v>
      </c>
      <c r="F126" t="s">
        <v>2838</v>
      </c>
      <c r="G126" t="s">
        <v>1168</v>
      </c>
      <c r="H126" t="s">
        <v>3219</v>
      </c>
      <c r="I126" t="s">
        <v>3220</v>
      </c>
      <c r="J126" t="s">
        <v>3002</v>
      </c>
      <c r="K126" s="6" t="s">
        <v>3588</v>
      </c>
      <c r="L126" s="5" t="s">
        <v>3588</v>
      </c>
      <c r="M126" t="s">
        <v>1448</v>
      </c>
      <c r="N126" t="s">
        <v>1448</v>
      </c>
      <c r="O126" t="s">
        <v>19</v>
      </c>
      <c r="P126" t="s">
        <v>36</v>
      </c>
      <c r="Q126" t="s">
        <v>37</v>
      </c>
      <c r="R126" t="s">
        <v>38</v>
      </c>
      <c r="S126" s="4">
        <v>5214083762452400</v>
      </c>
      <c r="T126" t="s">
        <v>23</v>
      </c>
      <c r="U126" s="1">
        <v>5112.63</v>
      </c>
      <c r="V126" s="1" t="s">
        <v>676</v>
      </c>
      <c r="W126" s="1" t="s">
        <v>1034</v>
      </c>
      <c r="X126" t="str">
        <f>IF(V126="","",VLOOKUP(V126,WMI!A:C,2,FALSE))</f>
        <v>Germany[9]</v>
      </c>
      <c r="Y126" t="str">
        <f>IF(V126="","",VLOOKUP(V126,WMI!A:C,3,FALSE))</f>
        <v>Porsche SUV</v>
      </c>
      <c r="Z126">
        <f>IF(W126="","",VLOOKUP(W126,year!A:B,2,FALSE))</f>
        <v>2012</v>
      </c>
    </row>
    <row r="127" spans="1:26" x14ac:dyDescent="0.25">
      <c r="A127">
        <v>267</v>
      </c>
      <c r="B127" t="s">
        <v>1727</v>
      </c>
      <c r="C127" t="s">
        <v>2564</v>
      </c>
      <c r="D127" t="s">
        <v>2286</v>
      </c>
      <c r="E127" t="s">
        <v>2006</v>
      </c>
      <c r="F127" t="s">
        <v>2839</v>
      </c>
      <c r="G127" t="s">
        <v>1169</v>
      </c>
      <c r="H127" t="s">
        <v>3221</v>
      </c>
      <c r="I127" t="s">
        <v>3222</v>
      </c>
      <c r="J127" t="s">
        <v>3465</v>
      </c>
      <c r="K127" s="6" t="s">
        <v>3589</v>
      </c>
      <c r="L127" s="5" t="s">
        <v>3589</v>
      </c>
      <c r="M127" t="s">
        <v>1449</v>
      </c>
      <c r="N127" t="s">
        <v>1449</v>
      </c>
      <c r="O127" t="s">
        <v>16</v>
      </c>
      <c r="P127" t="s">
        <v>68</v>
      </c>
      <c r="Q127" t="s">
        <v>186</v>
      </c>
      <c r="R127" t="s">
        <v>264</v>
      </c>
      <c r="S127" s="4">
        <v>5602244184683900</v>
      </c>
      <c r="T127" t="s">
        <v>93</v>
      </c>
      <c r="U127" s="1">
        <v>9094.75</v>
      </c>
      <c r="V127" s="1" t="s">
        <v>585</v>
      </c>
      <c r="W127" s="1" t="s">
        <v>1034</v>
      </c>
      <c r="X127" t="str">
        <f>IF(V127="","",VLOOKUP(V127,WMI!A:C,2,FALSE))</f>
        <v>Japan</v>
      </c>
      <c r="Y127" t="str">
        <f>IF(V127="","",VLOOKUP(V127,WMI!A:C,3,FALSE))</f>
        <v>Mazda</v>
      </c>
      <c r="Z127">
        <f>IF(W127="","",VLOOKUP(W127,year!A:B,2,FALSE))</f>
        <v>2012</v>
      </c>
    </row>
    <row r="128" spans="1:26" x14ac:dyDescent="0.25">
      <c r="A128">
        <v>218</v>
      </c>
      <c r="B128" t="s">
        <v>1728</v>
      </c>
      <c r="C128" t="s">
        <v>2565</v>
      </c>
      <c r="D128" t="s">
        <v>2287</v>
      </c>
      <c r="E128" t="s">
        <v>2007</v>
      </c>
      <c r="F128" t="s">
        <v>2840</v>
      </c>
      <c r="G128" t="s">
        <v>1170</v>
      </c>
      <c r="H128" t="s">
        <v>3223</v>
      </c>
      <c r="I128" t="s">
        <v>2992</v>
      </c>
      <c r="J128" t="s">
        <v>3454</v>
      </c>
      <c r="K128" s="6" t="s">
        <v>3590</v>
      </c>
      <c r="L128" s="5" t="s">
        <v>3590</v>
      </c>
      <c r="M128" t="s">
        <v>1450</v>
      </c>
      <c r="N128" t="s">
        <v>1450</v>
      </c>
      <c r="O128" t="s">
        <v>19</v>
      </c>
      <c r="P128" t="s">
        <v>68</v>
      </c>
      <c r="Q128" t="s">
        <v>186</v>
      </c>
      <c r="R128" t="s">
        <v>222</v>
      </c>
      <c r="S128" s="4">
        <v>3554240000541220</v>
      </c>
      <c r="T128" t="s">
        <v>18</v>
      </c>
      <c r="U128" s="1">
        <v>5254.1</v>
      </c>
      <c r="V128" s="1" t="s">
        <v>728</v>
      </c>
      <c r="W128" s="1" t="s">
        <v>1034</v>
      </c>
      <c r="X128" t="str">
        <f>IF(V128="","",VLOOKUP(V128,WMI!A:C,2,FALSE))</f>
        <v>Mexico</v>
      </c>
      <c r="Y128" t="str">
        <f>IF(V128="","",VLOOKUP(V128,WMI!A:C,3,FALSE))</f>
        <v>Volkswagen</v>
      </c>
      <c r="Z128">
        <f>IF(W128="","",VLOOKUP(W128,year!A:B,2,FALSE))</f>
        <v>2012</v>
      </c>
    </row>
    <row r="129" spans="1:26" x14ac:dyDescent="0.25">
      <c r="A129">
        <v>555</v>
      </c>
      <c r="B129" t="s">
        <v>1729</v>
      </c>
      <c r="C129" t="s">
        <v>2566</v>
      </c>
      <c r="D129" t="s">
        <v>2288</v>
      </c>
      <c r="E129" t="s">
        <v>2008</v>
      </c>
      <c r="F129" t="s">
        <v>2841</v>
      </c>
      <c r="G129" t="s">
        <v>1171</v>
      </c>
      <c r="H129" t="s">
        <v>3224</v>
      </c>
      <c r="I129" t="s">
        <v>3068</v>
      </c>
      <c r="J129" t="s">
        <v>3452</v>
      </c>
      <c r="K129" s="6" t="s">
        <v>3500</v>
      </c>
      <c r="L129" s="5" t="s">
        <v>3500</v>
      </c>
      <c r="M129" t="s">
        <v>1451</v>
      </c>
      <c r="N129" t="s">
        <v>1451</v>
      </c>
      <c r="O129" t="s">
        <v>16</v>
      </c>
      <c r="P129" t="s">
        <v>223</v>
      </c>
      <c r="Q129" t="s">
        <v>393</v>
      </c>
      <c r="R129" t="s">
        <v>394</v>
      </c>
      <c r="S129" s="4">
        <v>3587511643670180</v>
      </c>
      <c r="T129" t="s">
        <v>18</v>
      </c>
      <c r="U129" s="1">
        <v>9661.32</v>
      </c>
      <c r="V129" s="1" t="s">
        <v>728</v>
      </c>
      <c r="W129" s="1" t="s">
        <v>1034</v>
      </c>
      <c r="X129" t="str">
        <f>IF(V129="","",VLOOKUP(V129,WMI!A:C,2,FALSE))</f>
        <v>Mexico</v>
      </c>
      <c r="Y129" t="str">
        <f>IF(V129="","",VLOOKUP(V129,WMI!A:C,3,FALSE))</f>
        <v>Volkswagen</v>
      </c>
      <c r="Z129">
        <f>IF(W129="","",VLOOKUP(W129,year!A:B,2,FALSE))</f>
        <v>2012</v>
      </c>
    </row>
    <row r="130" spans="1:26" x14ac:dyDescent="0.25">
      <c r="A130">
        <v>39</v>
      </c>
      <c r="B130" t="s">
        <v>1730</v>
      </c>
      <c r="C130" t="s">
        <v>2567</v>
      </c>
      <c r="D130" t="s">
        <v>2289</v>
      </c>
      <c r="E130" t="s">
        <v>2009</v>
      </c>
      <c r="F130" t="s">
        <v>2842</v>
      </c>
      <c r="G130" t="s">
        <v>1172</v>
      </c>
      <c r="H130" t="s">
        <v>3225</v>
      </c>
      <c r="I130" t="s">
        <v>3226</v>
      </c>
      <c r="J130" t="s">
        <v>3001</v>
      </c>
      <c r="K130" s="6" t="s">
        <v>3591</v>
      </c>
      <c r="L130" s="5" t="s">
        <v>3591</v>
      </c>
      <c r="M130" t="s">
        <v>1452</v>
      </c>
      <c r="N130" t="s">
        <v>1452</v>
      </c>
      <c r="O130" t="s">
        <v>19</v>
      </c>
      <c r="P130" t="s">
        <v>36</v>
      </c>
      <c r="Q130" t="s">
        <v>86</v>
      </c>
      <c r="R130" t="s">
        <v>87</v>
      </c>
      <c r="S130" s="4">
        <v>36666297352623</v>
      </c>
      <c r="T130" t="s">
        <v>50</v>
      </c>
      <c r="U130" s="1">
        <v>6497.79</v>
      </c>
      <c r="V130" s="1" t="s">
        <v>781</v>
      </c>
      <c r="W130" s="1" t="s">
        <v>1034</v>
      </c>
      <c r="X130" t="str">
        <f>IF(V130="","",VLOOKUP(V130,WMI!A:C,2,FALSE))</f>
        <v>South Korea</v>
      </c>
      <c r="Y130" t="str">
        <f>IF(V130="","",VLOOKUP(V130,WMI!A:C,3,FALSE))</f>
        <v>Hyundai</v>
      </c>
      <c r="Z130">
        <f>IF(W130="","",VLOOKUP(W130,year!A:B,2,FALSE))</f>
        <v>2012</v>
      </c>
    </row>
    <row r="131" spans="1:26" x14ac:dyDescent="0.25">
      <c r="A131">
        <v>42</v>
      </c>
      <c r="B131" t="s">
        <v>1731</v>
      </c>
      <c r="C131" t="s">
        <v>2568</v>
      </c>
      <c r="D131" t="s">
        <v>2290</v>
      </c>
      <c r="E131" t="s">
        <v>2010</v>
      </c>
      <c r="F131" t="s">
        <v>2843</v>
      </c>
      <c r="G131" t="s">
        <v>1173</v>
      </c>
      <c r="H131" t="s">
        <v>3227</v>
      </c>
      <c r="I131" t="s">
        <v>3228</v>
      </c>
      <c r="J131" t="s">
        <v>3446</v>
      </c>
      <c r="K131" s="6" t="s">
        <v>3592</v>
      </c>
      <c r="L131" s="5" t="s">
        <v>3592</v>
      </c>
      <c r="M131" t="s">
        <v>1453</v>
      </c>
      <c r="N131" t="s">
        <v>1453</v>
      </c>
      <c r="O131" t="s">
        <v>16</v>
      </c>
      <c r="P131" t="s">
        <v>61</v>
      </c>
      <c r="Q131" t="s">
        <v>94</v>
      </c>
      <c r="R131" t="s">
        <v>95</v>
      </c>
      <c r="S131" s="4">
        <v>374288363583385</v>
      </c>
      <c r="T131" t="s">
        <v>48</v>
      </c>
      <c r="U131" s="1">
        <v>9027.68</v>
      </c>
      <c r="V131" s="1" t="s">
        <v>781</v>
      </c>
      <c r="W131" s="1" t="s">
        <v>1034</v>
      </c>
      <c r="X131" t="str">
        <f>IF(V131="","",VLOOKUP(V131,WMI!A:C,2,FALSE))</f>
        <v>South Korea</v>
      </c>
      <c r="Y131" t="str">
        <f>IF(V131="","",VLOOKUP(V131,WMI!A:C,3,FALSE))</f>
        <v>Hyundai</v>
      </c>
      <c r="Z131">
        <f>IF(W131="","",VLOOKUP(W131,year!A:B,2,FALSE))</f>
        <v>2012</v>
      </c>
    </row>
    <row r="132" spans="1:26" x14ac:dyDescent="0.25">
      <c r="A132">
        <v>236</v>
      </c>
      <c r="B132" t="s">
        <v>1732</v>
      </c>
      <c r="C132" t="s">
        <v>2569</v>
      </c>
      <c r="D132" t="s">
        <v>2291</v>
      </c>
      <c r="E132" t="s">
        <v>2011</v>
      </c>
      <c r="F132" t="s">
        <v>2844</v>
      </c>
      <c r="G132" t="s">
        <v>1174</v>
      </c>
      <c r="H132" t="s">
        <v>3229</v>
      </c>
      <c r="I132" t="s">
        <v>3230</v>
      </c>
      <c r="J132" t="s">
        <v>3454</v>
      </c>
      <c r="K132" s="6" t="s">
        <v>3593</v>
      </c>
      <c r="L132" s="5" t="s">
        <v>3593</v>
      </c>
      <c r="M132" t="s">
        <v>1454</v>
      </c>
      <c r="N132" t="s">
        <v>1454</v>
      </c>
      <c r="O132" t="s">
        <v>16</v>
      </c>
      <c r="P132" t="s">
        <v>59</v>
      </c>
      <c r="Q132" t="s">
        <v>102</v>
      </c>
      <c r="R132" t="s">
        <v>238</v>
      </c>
      <c r="S132" s="4">
        <v>5196863029939900</v>
      </c>
      <c r="T132" t="s">
        <v>23</v>
      </c>
      <c r="U132" s="1">
        <v>9744.42</v>
      </c>
      <c r="V132" s="1" t="s">
        <v>692</v>
      </c>
      <c r="W132" s="1" t="s">
        <v>1034</v>
      </c>
      <c r="X132" t="str">
        <f>IF(V132="","",VLOOKUP(V132,WMI!A:C,2,FALSE))</f>
        <v>Sweden</v>
      </c>
      <c r="Y132" t="str">
        <f>IF(V132="","",VLOOKUP(V132,WMI!A:C,3,FALSE))</f>
        <v>Volvo Cars</v>
      </c>
      <c r="Z132">
        <f>IF(W132="","",VLOOKUP(W132,year!A:B,2,FALSE))</f>
        <v>2012</v>
      </c>
    </row>
    <row r="133" spans="1:26" x14ac:dyDescent="0.25">
      <c r="A133">
        <v>686</v>
      </c>
      <c r="B133" t="s">
        <v>1733</v>
      </c>
      <c r="C133" t="s">
        <v>2570</v>
      </c>
      <c r="D133" t="s">
        <v>2292</v>
      </c>
      <c r="E133" t="s">
        <v>2012</v>
      </c>
      <c r="F133" t="s">
        <v>2845</v>
      </c>
      <c r="G133" t="s">
        <v>1175</v>
      </c>
      <c r="H133" t="s">
        <v>3231</v>
      </c>
      <c r="I133" t="s">
        <v>3232</v>
      </c>
      <c r="J133" t="s">
        <v>3438</v>
      </c>
      <c r="K133" s="6" t="s">
        <v>3594</v>
      </c>
      <c r="L133" s="5" t="s">
        <v>3594</v>
      </c>
      <c r="M133" t="s">
        <v>1455</v>
      </c>
      <c r="N133" t="s">
        <v>1455</v>
      </c>
      <c r="O133" t="s">
        <v>16</v>
      </c>
      <c r="P133" t="s">
        <v>83</v>
      </c>
      <c r="Q133" t="s">
        <v>168</v>
      </c>
      <c r="R133" t="s">
        <v>456</v>
      </c>
      <c r="S133" s="4">
        <v>3533154762159010</v>
      </c>
      <c r="T133" t="s">
        <v>18</v>
      </c>
      <c r="U133" s="1">
        <v>9639.57</v>
      </c>
      <c r="V133" s="1" t="s">
        <v>630</v>
      </c>
      <c r="W133" s="1" t="s">
        <v>1034</v>
      </c>
      <c r="X133" t="str">
        <f>IF(V133="","",VLOOKUP(V133,WMI!A:C,2,FALSE))</f>
        <v>United Kingdom</v>
      </c>
      <c r="Y133" t="str">
        <f>IF(V133="","",VLOOKUP(V133,WMI!A:C,3,FALSE))</f>
        <v>Aston Martin Lagonda Limited</v>
      </c>
      <c r="Z133">
        <f>IF(W133="","",VLOOKUP(W133,year!A:B,2,FALSE))</f>
        <v>2012</v>
      </c>
    </row>
    <row r="134" spans="1:26" x14ac:dyDescent="0.25">
      <c r="A134">
        <v>914</v>
      </c>
      <c r="B134" t="s">
        <v>1734</v>
      </c>
      <c r="C134" t="s">
        <v>2571</v>
      </c>
      <c r="D134" t="s">
        <v>2293</v>
      </c>
      <c r="E134" t="s">
        <v>2013</v>
      </c>
      <c r="F134" t="s">
        <v>2846</v>
      </c>
      <c r="G134" t="s">
        <v>1176</v>
      </c>
      <c r="H134" t="s">
        <v>3233</v>
      </c>
      <c r="I134" t="s">
        <v>3146</v>
      </c>
      <c r="J134" t="s">
        <v>2993</v>
      </c>
      <c r="K134" s="6" t="s">
        <v>3595</v>
      </c>
      <c r="L134" s="5" t="s">
        <v>3595</v>
      </c>
      <c r="M134" t="s">
        <v>1456</v>
      </c>
      <c r="N134" t="s">
        <v>1456</v>
      </c>
      <c r="O134" t="s">
        <v>16</v>
      </c>
      <c r="P134" t="s">
        <v>39</v>
      </c>
      <c r="Q134" t="s">
        <v>161</v>
      </c>
      <c r="R134" t="s">
        <v>548</v>
      </c>
      <c r="S134" s="4">
        <v>3586949954632330</v>
      </c>
      <c r="T134" t="s">
        <v>18</v>
      </c>
      <c r="U134" s="1">
        <v>9020.39</v>
      </c>
      <c r="V134" s="1" t="s">
        <v>630</v>
      </c>
      <c r="W134" s="1" t="s">
        <v>1034</v>
      </c>
      <c r="X134" t="str">
        <f>IF(V134="","",VLOOKUP(V134,WMI!A:C,2,FALSE))</f>
        <v>United Kingdom</v>
      </c>
      <c r="Y134" t="str">
        <f>IF(V134="","",VLOOKUP(V134,WMI!A:C,3,FALSE))</f>
        <v>Aston Martin Lagonda Limited</v>
      </c>
      <c r="Z134">
        <f>IF(W134="","",VLOOKUP(W134,year!A:B,2,FALSE))</f>
        <v>2012</v>
      </c>
    </row>
    <row r="135" spans="1:26" x14ac:dyDescent="0.25">
      <c r="A135">
        <v>3</v>
      </c>
      <c r="B135" t="s">
        <v>1735</v>
      </c>
      <c r="C135" t="s">
        <v>2572</v>
      </c>
      <c r="D135" t="s">
        <v>2294</v>
      </c>
      <c r="E135" t="s">
        <v>2014</v>
      </c>
      <c r="F135" t="s">
        <v>2847</v>
      </c>
      <c r="G135" t="s">
        <v>1177</v>
      </c>
      <c r="H135" t="s">
        <v>3234</v>
      </c>
      <c r="I135" t="s">
        <v>3235</v>
      </c>
      <c r="J135" t="s">
        <v>3451</v>
      </c>
      <c r="K135" s="6" t="s">
        <v>3596</v>
      </c>
      <c r="L135" s="5" t="s">
        <v>3596</v>
      </c>
      <c r="M135" t="s">
        <v>1457</v>
      </c>
      <c r="N135" t="s">
        <v>1457</v>
      </c>
      <c r="O135" t="s">
        <v>19</v>
      </c>
      <c r="P135" t="s">
        <v>24</v>
      </c>
      <c r="Q135" t="s">
        <v>25</v>
      </c>
      <c r="R135" t="s">
        <v>763</v>
      </c>
      <c r="S135" s="4">
        <v>4026050225319760</v>
      </c>
      <c r="T135" t="s">
        <v>26</v>
      </c>
      <c r="U135" s="1">
        <v>9645.34</v>
      </c>
      <c r="V135" s="1" t="s">
        <v>621</v>
      </c>
      <c r="W135" s="1" t="s">
        <v>1034</v>
      </c>
      <c r="X135" t="str">
        <f>IF(V135="","",VLOOKUP(V135,WMI!A:C,2,FALSE))</f>
        <v>United Kingdom</v>
      </c>
      <c r="Y135" t="str">
        <f>IF(V135="","",VLOOKUP(V135,WMI!A:C,3,FALSE))</f>
        <v>Land Rover</v>
      </c>
      <c r="Z135">
        <f>IF(W135="","",VLOOKUP(W135,year!A:B,2,FALSE))</f>
        <v>2012</v>
      </c>
    </row>
    <row r="136" spans="1:26" x14ac:dyDescent="0.25">
      <c r="A136">
        <v>257</v>
      </c>
      <c r="B136" t="s">
        <v>1736</v>
      </c>
      <c r="C136" t="s">
        <v>2573</v>
      </c>
      <c r="D136" t="s">
        <v>2295</v>
      </c>
      <c r="E136" t="s">
        <v>2015</v>
      </c>
      <c r="F136" t="s">
        <v>2848</v>
      </c>
      <c r="G136" t="s">
        <v>1178</v>
      </c>
      <c r="H136" t="s">
        <v>3236</v>
      </c>
      <c r="I136" t="s">
        <v>3212</v>
      </c>
      <c r="J136" t="s">
        <v>3444</v>
      </c>
      <c r="K136" s="6" t="s">
        <v>3597</v>
      </c>
      <c r="L136" s="5" t="s">
        <v>3597</v>
      </c>
      <c r="M136" t="s">
        <v>1458</v>
      </c>
      <c r="N136" t="s">
        <v>1458</v>
      </c>
      <c r="O136" t="s">
        <v>16</v>
      </c>
      <c r="P136" t="s">
        <v>79</v>
      </c>
      <c r="Q136" t="s">
        <v>256</v>
      </c>
      <c r="R136" t="s">
        <v>257</v>
      </c>
      <c r="S136" s="4">
        <v>3573086067419400</v>
      </c>
      <c r="T136" t="s">
        <v>18</v>
      </c>
      <c r="U136" s="1">
        <v>9647.74</v>
      </c>
      <c r="V136" s="1" t="s">
        <v>621</v>
      </c>
      <c r="W136" s="1" t="s">
        <v>1034</v>
      </c>
      <c r="X136" t="str">
        <f>IF(V136="","",VLOOKUP(V136,WMI!A:C,2,FALSE))</f>
        <v>United Kingdom</v>
      </c>
      <c r="Y136" t="str">
        <f>IF(V136="","",VLOOKUP(V136,WMI!A:C,3,FALSE))</f>
        <v>Land Rover</v>
      </c>
      <c r="Z136">
        <f>IF(W136="","",VLOOKUP(W136,year!A:B,2,FALSE))</f>
        <v>2012</v>
      </c>
    </row>
    <row r="137" spans="1:26" x14ac:dyDescent="0.25">
      <c r="A137">
        <v>937</v>
      </c>
      <c r="B137" t="s">
        <v>1737</v>
      </c>
      <c r="C137" t="s">
        <v>2574</v>
      </c>
      <c r="D137" t="s">
        <v>2296</v>
      </c>
      <c r="E137" t="s">
        <v>2016</v>
      </c>
      <c r="F137" t="s">
        <v>2849</v>
      </c>
      <c r="G137" t="s">
        <v>1179</v>
      </c>
      <c r="H137" t="s">
        <v>3237</v>
      </c>
      <c r="I137" t="s">
        <v>3238</v>
      </c>
      <c r="J137" t="s">
        <v>3439</v>
      </c>
      <c r="K137" s="6" t="s">
        <v>3598</v>
      </c>
      <c r="L137" s="5" t="s">
        <v>3598</v>
      </c>
      <c r="M137" t="s">
        <v>1459</v>
      </c>
      <c r="N137" t="s">
        <v>1459</v>
      </c>
      <c r="O137" t="s">
        <v>19</v>
      </c>
      <c r="P137" t="s">
        <v>17</v>
      </c>
      <c r="Q137" t="s">
        <v>560</v>
      </c>
      <c r="R137" t="s">
        <v>561</v>
      </c>
      <c r="S137" s="4">
        <v>3545215130853730</v>
      </c>
      <c r="T137" t="s">
        <v>18</v>
      </c>
      <c r="U137" s="1">
        <v>5388.49</v>
      </c>
      <c r="V137" s="1" t="s">
        <v>709</v>
      </c>
      <c r="W137" s="1" t="s">
        <v>1034</v>
      </c>
      <c r="X137" t="str">
        <f>IF(V137="","",VLOOKUP(V137,WMI!A:C,2,FALSE))</f>
        <v>United States</v>
      </c>
      <c r="Y137" t="str">
        <f>IF(V137="","",VLOOKUP(V137,WMI!A:C,3,FALSE))</f>
        <v>Buick</v>
      </c>
      <c r="Z137">
        <f>IF(W137="","",VLOOKUP(W137,year!A:B,2,FALSE))</f>
        <v>2012</v>
      </c>
    </row>
    <row r="138" spans="1:26" x14ac:dyDescent="0.25">
      <c r="A138">
        <v>985</v>
      </c>
      <c r="B138" t="s">
        <v>1738</v>
      </c>
      <c r="C138" t="s">
        <v>2575</v>
      </c>
      <c r="D138" t="s">
        <v>2297</v>
      </c>
      <c r="E138" t="s">
        <v>2017</v>
      </c>
      <c r="F138" t="s">
        <v>2850</v>
      </c>
      <c r="G138" t="s">
        <v>1180</v>
      </c>
      <c r="H138" t="s">
        <v>3239</v>
      </c>
      <c r="I138" t="s">
        <v>3240</v>
      </c>
      <c r="J138" t="s">
        <v>3450</v>
      </c>
      <c r="K138" s="6" t="s">
        <v>3599</v>
      </c>
      <c r="L138" s="5" t="s">
        <v>3599</v>
      </c>
      <c r="M138" t="s">
        <v>1460</v>
      </c>
      <c r="N138" t="s">
        <v>1460</v>
      </c>
      <c r="O138" t="s">
        <v>19</v>
      </c>
      <c r="P138" t="s">
        <v>107</v>
      </c>
      <c r="Q138" t="s">
        <v>303</v>
      </c>
      <c r="R138" t="s">
        <v>575</v>
      </c>
      <c r="S138" s="4">
        <v>3576340562646490</v>
      </c>
      <c r="T138" t="s">
        <v>18</v>
      </c>
      <c r="U138" s="1">
        <v>6898.56</v>
      </c>
      <c r="V138" s="1" t="s">
        <v>709</v>
      </c>
      <c r="W138" s="1" t="s">
        <v>1034</v>
      </c>
      <c r="X138" t="str">
        <f>IF(V138="","",VLOOKUP(V138,WMI!A:C,2,FALSE))</f>
        <v>United States</v>
      </c>
      <c r="Y138" t="str">
        <f>IF(V138="","",VLOOKUP(V138,WMI!A:C,3,FALSE))</f>
        <v>Buick</v>
      </c>
      <c r="Z138">
        <f>IF(W138="","",VLOOKUP(W138,year!A:B,2,FALSE))</f>
        <v>2012</v>
      </c>
    </row>
    <row r="139" spans="1:26" x14ac:dyDescent="0.25">
      <c r="A139">
        <v>386</v>
      </c>
      <c r="B139" t="s">
        <v>1739</v>
      </c>
      <c r="C139" t="s">
        <v>2576</v>
      </c>
      <c r="D139" t="s">
        <v>2298</v>
      </c>
      <c r="E139" t="s">
        <v>2018</v>
      </c>
      <c r="F139" t="s">
        <v>2851</v>
      </c>
      <c r="G139" t="s">
        <v>1181</v>
      </c>
      <c r="H139" t="s">
        <v>3241</v>
      </c>
      <c r="I139" t="s">
        <v>3004</v>
      </c>
      <c r="J139" t="s">
        <v>3457</v>
      </c>
      <c r="K139" s="6" t="s">
        <v>3532</v>
      </c>
      <c r="L139" s="5" t="s">
        <v>3532</v>
      </c>
      <c r="M139" t="s">
        <v>1461</v>
      </c>
      <c r="N139" t="s">
        <v>1461</v>
      </c>
      <c r="O139" t="s">
        <v>19</v>
      </c>
      <c r="P139" t="s">
        <v>20</v>
      </c>
      <c r="Q139" t="s">
        <v>234</v>
      </c>
      <c r="R139" t="s">
        <v>318</v>
      </c>
      <c r="S139" s="4">
        <v>6.7093018781521997E+17</v>
      </c>
      <c r="T139" t="s">
        <v>41</v>
      </c>
      <c r="U139" s="1">
        <v>6100.64</v>
      </c>
      <c r="V139" s="1" t="s">
        <v>734</v>
      </c>
      <c r="W139" s="1" t="s">
        <v>1034</v>
      </c>
      <c r="X139" t="str">
        <f>IF(V139="","",VLOOKUP(V139,WMI!A:C,2,FALSE))</f>
        <v>United States</v>
      </c>
      <c r="Y139" t="str">
        <f>IF(V139="","",VLOOKUP(V139,WMI!A:C,3,FALSE))</f>
        <v>Nissan</v>
      </c>
      <c r="Z139">
        <f>IF(W139="","",VLOOKUP(W139,year!A:B,2,FALSE))</f>
        <v>2012</v>
      </c>
    </row>
    <row r="140" spans="1:26" x14ac:dyDescent="0.25">
      <c r="A140">
        <v>806</v>
      </c>
      <c r="B140" t="s">
        <v>1740</v>
      </c>
      <c r="C140" t="s">
        <v>2577</v>
      </c>
      <c r="D140" t="s">
        <v>2299</v>
      </c>
      <c r="E140" t="s">
        <v>2019</v>
      </c>
      <c r="F140" t="s">
        <v>2852</v>
      </c>
      <c r="G140" t="s">
        <v>1182</v>
      </c>
      <c r="H140" t="s">
        <v>3242</v>
      </c>
      <c r="I140" t="s">
        <v>3243</v>
      </c>
      <c r="J140" t="s">
        <v>3444</v>
      </c>
      <c r="K140" s="6" t="s">
        <v>3600</v>
      </c>
      <c r="L140" s="5" t="s">
        <v>3600</v>
      </c>
      <c r="M140" t="s">
        <v>1462</v>
      </c>
      <c r="N140" t="s">
        <v>1462</v>
      </c>
      <c r="O140" t="s">
        <v>19</v>
      </c>
      <c r="P140" t="s">
        <v>100</v>
      </c>
      <c r="Q140" t="s">
        <v>101</v>
      </c>
      <c r="R140" t="s">
        <v>503</v>
      </c>
      <c r="S140" s="4">
        <v>3529071712134670</v>
      </c>
      <c r="T140" t="s">
        <v>18</v>
      </c>
      <c r="U140" s="1">
        <v>7429.28</v>
      </c>
      <c r="V140" s="1" t="s">
        <v>734</v>
      </c>
      <c r="W140" s="1" t="s">
        <v>1034</v>
      </c>
      <c r="X140" t="str">
        <f>IF(V140="","",VLOOKUP(V140,WMI!A:C,2,FALSE))</f>
        <v>United States</v>
      </c>
      <c r="Y140" t="str">
        <f>IF(V140="","",VLOOKUP(V140,WMI!A:C,3,FALSE))</f>
        <v>Nissan</v>
      </c>
      <c r="Z140">
        <f>IF(W140="","",VLOOKUP(W140,year!A:B,2,FALSE))</f>
        <v>2012</v>
      </c>
    </row>
    <row r="141" spans="1:26" x14ac:dyDescent="0.25">
      <c r="A141">
        <v>281</v>
      </c>
      <c r="B141" t="s">
        <v>1741</v>
      </c>
      <c r="C141" t="s">
        <v>2578</v>
      </c>
      <c r="D141" t="s">
        <v>2300</v>
      </c>
      <c r="E141" t="s">
        <v>2020</v>
      </c>
      <c r="F141" t="s">
        <v>2853</v>
      </c>
      <c r="G141" t="s">
        <v>1183</v>
      </c>
      <c r="H141" t="s">
        <v>3244</v>
      </c>
      <c r="I141" t="s">
        <v>3245</v>
      </c>
      <c r="J141" t="s">
        <v>3443</v>
      </c>
      <c r="K141" s="6" t="s">
        <v>3601</v>
      </c>
      <c r="L141" s="5" t="s">
        <v>3601</v>
      </c>
      <c r="M141" t="s">
        <v>1463</v>
      </c>
      <c r="N141" t="s">
        <v>1463</v>
      </c>
      <c r="O141" t="s">
        <v>16</v>
      </c>
      <c r="P141" t="s">
        <v>69</v>
      </c>
      <c r="Q141" t="s">
        <v>181</v>
      </c>
      <c r="R141" t="s">
        <v>273</v>
      </c>
      <c r="S141" s="4">
        <v>5411574078809020</v>
      </c>
      <c r="T141" t="s">
        <v>23</v>
      </c>
      <c r="U141" s="1">
        <v>7145.63</v>
      </c>
      <c r="V141" s="1" t="s">
        <v>901</v>
      </c>
      <c r="W141" s="1" t="s">
        <v>1034</v>
      </c>
      <c r="X141" t="str">
        <f>IF(V141="","",VLOOKUP(V141,WMI!A:C,2,FALSE))</f>
        <v>United States</v>
      </c>
      <c r="Y141" t="str">
        <f>IF(V141="","",VLOOKUP(V141,WMI!A:C,3,FALSE))</f>
        <v>GMC incomplete vehicles</v>
      </c>
      <c r="Z141">
        <f>IF(W141="","",VLOOKUP(W141,year!A:B,2,FALSE))</f>
        <v>2012</v>
      </c>
    </row>
    <row r="142" spans="1:26" x14ac:dyDescent="0.25">
      <c r="A142">
        <v>7</v>
      </c>
      <c r="B142" t="s">
        <v>1742</v>
      </c>
      <c r="C142" t="s">
        <v>2579</v>
      </c>
      <c r="D142" t="s">
        <v>2301</v>
      </c>
      <c r="E142" t="s">
        <v>2021</v>
      </c>
      <c r="F142" t="s">
        <v>2854</v>
      </c>
      <c r="G142" t="s">
        <v>1184</v>
      </c>
      <c r="H142" t="s">
        <v>3246</v>
      </c>
      <c r="I142" t="s">
        <v>3247</v>
      </c>
      <c r="J142" t="s">
        <v>2993</v>
      </c>
      <c r="K142" s="6" t="s">
        <v>3602</v>
      </c>
      <c r="L142" s="5" t="s">
        <v>3602</v>
      </c>
      <c r="M142" t="s">
        <v>1464</v>
      </c>
      <c r="N142" t="s">
        <v>1464</v>
      </c>
      <c r="O142" t="s">
        <v>19</v>
      </c>
      <c r="P142" t="s">
        <v>31</v>
      </c>
      <c r="Q142" t="s">
        <v>32</v>
      </c>
      <c r="R142" t="s">
        <v>33</v>
      </c>
      <c r="S142" s="4">
        <v>5602222833269520</v>
      </c>
      <c r="T142" t="s">
        <v>34</v>
      </c>
      <c r="U142" s="1">
        <v>7580.61</v>
      </c>
      <c r="V142" s="1" t="s">
        <v>660</v>
      </c>
      <c r="W142" s="1" t="s">
        <v>1035</v>
      </c>
      <c r="X142" t="str">
        <f>IF(V142="","",VLOOKUP(V142,WMI!A:C,2,FALSE))</f>
        <v>Germany</v>
      </c>
      <c r="Y142" t="str">
        <f>IF(V142="","",VLOOKUP(V142,WMI!A:C,3,FALSE))</f>
        <v>Audi</v>
      </c>
      <c r="Z142">
        <f>IF(W142="","",VLOOKUP(W142,year!A:B,2,FALSE))</f>
        <v>2013</v>
      </c>
    </row>
    <row r="143" spans="1:26" x14ac:dyDescent="0.25">
      <c r="A143">
        <v>37</v>
      </c>
      <c r="B143" t="s">
        <v>1743</v>
      </c>
      <c r="C143" t="s">
        <v>2580</v>
      </c>
      <c r="D143" t="s">
        <v>2302</v>
      </c>
      <c r="E143" t="s">
        <v>2022</v>
      </c>
      <c r="F143" t="s">
        <v>2855</v>
      </c>
      <c r="G143" t="s">
        <v>1185</v>
      </c>
      <c r="H143" t="s">
        <v>3248</v>
      </c>
      <c r="I143" t="s">
        <v>3113</v>
      </c>
      <c r="J143" t="s">
        <v>3436</v>
      </c>
      <c r="K143" s="6" t="s">
        <v>3603</v>
      </c>
      <c r="L143" s="5" t="s">
        <v>3603</v>
      </c>
      <c r="M143" t="s">
        <v>1465</v>
      </c>
      <c r="N143" t="s">
        <v>1465</v>
      </c>
      <c r="O143" t="s">
        <v>19</v>
      </c>
      <c r="P143" t="s">
        <v>79</v>
      </c>
      <c r="Q143" t="s">
        <v>80</v>
      </c>
      <c r="R143" t="s">
        <v>81</v>
      </c>
      <c r="S143" s="4">
        <v>5.0189376662311504E+16</v>
      </c>
      <c r="T143" t="s">
        <v>82</v>
      </c>
      <c r="U143" s="1">
        <v>7161.29</v>
      </c>
      <c r="V143" s="1" t="s">
        <v>660</v>
      </c>
      <c r="W143" s="1" t="s">
        <v>1035</v>
      </c>
      <c r="X143" t="str">
        <f>IF(V143="","",VLOOKUP(V143,WMI!A:C,2,FALSE))</f>
        <v>Germany</v>
      </c>
      <c r="Y143" t="str">
        <f>IF(V143="","",VLOOKUP(V143,WMI!A:C,3,FALSE))</f>
        <v>Audi</v>
      </c>
      <c r="Z143">
        <f>IF(W143="","",VLOOKUP(W143,year!A:B,2,FALSE))</f>
        <v>2013</v>
      </c>
    </row>
    <row r="144" spans="1:26" x14ac:dyDescent="0.25">
      <c r="A144">
        <v>82</v>
      </c>
      <c r="B144" t="s">
        <v>1744</v>
      </c>
      <c r="C144" t="s">
        <v>2581</v>
      </c>
      <c r="D144" t="s">
        <v>2303</v>
      </c>
      <c r="E144" t="s">
        <v>2023</v>
      </c>
      <c r="F144" t="s">
        <v>2856</v>
      </c>
      <c r="G144" t="s">
        <v>1186</v>
      </c>
      <c r="H144" t="s">
        <v>3249</v>
      </c>
      <c r="I144" t="s">
        <v>104</v>
      </c>
      <c r="J144" t="s">
        <v>2993</v>
      </c>
      <c r="K144" s="6" t="s">
        <v>3604</v>
      </c>
      <c r="L144" s="5" t="s">
        <v>3604</v>
      </c>
      <c r="M144" t="s">
        <v>1466</v>
      </c>
      <c r="N144" t="s">
        <v>1466</v>
      </c>
      <c r="O144" t="s">
        <v>19</v>
      </c>
      <c r="P144" t="s">
        <v>107</v>
      </c>
      <c r="Q144" t="s">
        <v>117</v>
      </c>
      <c r="R144" t="s">
        <v>118</v>
      </c>
      <c r="S144" s="4">
        <v>4041597375537090</v>
      </c>
      <c r="T144" t="s">
        <v>119</v>
      </c>
      <c r="U144" s="1">
        <v>9165.9500000000007</v>
      </c>
      <c r="V144" s="1" t="s">
        <v>660</v>
      </c>
      <c r="W144" s="1" t="s">
        <v>1035</v>
      </c>
      <c r="X144" t="str">
        <f>IF(V144="","",VLOOKUP(V144,WMI!A:C,2,FALSE))</f>
        <v>Germany</v>
      </c>
      <c r="Y144" t="str">
        <f>IF(V144="","",VLOOKUP(V144,WMI!A:C,3,FALSE))</f>
        <v>Audi</v>
      </c>
      <c r="Z144">
        <f>IF(W144="","",VLOOKUP(W144,year!A:B,2,FALSE))</f>
        <v>2013</v>
      </c>
    </row>
    <row r="145" spans="1:26" x14ac:dyDescent="0.25">
      <c r="A145">
        <v>203</v>
      </c>
      <c r="B145" t="s">
        <v>1745</v>
      </c>
      <c r="C145" t="s">
        <v>2582</v>
      </c>
      <c r="D145" t="s">
        <v>2304</v>
      </c>
      <c r="E145" t="s">
        <v>2024</v>
      </c>
      <c r="F145" t="s">
        <v>2857</v>
      </c>
      <c r="G145" t="s">
        <v>1187</v>
      </c>
      <c r="H145" t="s">
        <v>3250</v>
      </c>
      <c r="I145" t="s">
        <v>3230</v>
      </c>
      <c r="J145" t="s">
        <v>3454</v>
      </c>
      <c r="K145" s="6" t="s">
        <v>3605</v>
      </c>
      <c r="L145" s="5" t="s">
        <v>3605</v>
      </c>
      <c r="M145" t="s">
        <v>1467</v>
      </c>
      <c r="N145" t="s">
        <v>1467</v>
      </c>
      <c r="O145" t="s">
        <v>16</v>
      </c>
      <c r="P145" t="s">
        <v>205</v>
      </c>
      <c r="Q145" t="s">
        <v>206</v>
      </c>
      <c r="R145" t="s">
        <v>214</v>
      </c>
      <c r="S145" s="4">
        <v>201945909512181</v>
      </c>
      <c r="T145" t="s">
        <v>28</v>
      </c>
      <c r="U145" s="1">
        <v>7256.02</v>
      </c>
      <c r="V145" s="1" t="s">
        <v>660</v>
      </c>
      <c r="W145" s="1" t="s">
        <v>1035</v>
      </c>
      <c r="X145" t="str">
        <f>IF(V145="","",VLOOKUP(V145,WMI!A:C,2,FALSE))</f>
        <v>Germany</v>
      </c>
      <c r="Y145" t="str">
        <f>IF(V145="","",VLOOKUP(V145,WMI!A:C,3,FALSE))</f>
        <v>Audi</v>
      </c>
      <c r="Z145">
        <f>IF(W145="","",VLOOKUP(W145,year!A:B,2,FALSE))</f>
        <v>2013</v>
      </c>
    </row>
    <row r="146" spans="1:26" x14ac:dyDescent="0.25">
      <c r="A146">
        <v>238</v>
      </c>
      <c r="B146" t="s">
        <v>1746</v>
      </c>
      <c r="C146" t="s">
        <v>2583</v>
      </c>
      <c r="D146" t="s">
        <v>2305</v>
      </c>
      <c r="E146" t="s">
        <v>2025</v>
      </c>
      <c r="F146" t="s">
        <v>2858</v>
      </c>
      <c r="G146" t="s">
        <v>1188</v>
      </c>
      <c r="H146" t="s">
        <v>3251</v>
      </c>
      <c r="I146" t="s">
        <v>3096</v>
      </c>
      <c r="J146" t="s">
        <v>2993</v>
      </c>
      <c r="K146" s="6" t="s">
        <v>3606</v>
      </c>
      <c r="L146" s="5" t="s">
        <v>3606</v>
      </c>
      <c r="M146" t="s">
        <v>1468</v>
      </c>
      <c r="N146" t="s">
        <v>1468</v>
      </c>
      <c r="O146" t="s">
        <v>16</v>
      </c>
      <c r="P146" t="s">
        <v>55</v>
      </c>
      <c r="Q146" t="s">
        <v>241</v>
      </c>
      <c r="R146" t="s">
        <v>242</v>
      </c>
      <c r="S146" s="4">
        <v>3561634009313720</v>
      </c>
      <c r="T146" t="s">
        <v>18</v>
      </c>
      <c r="U146" s="1">
        <v>7493.66</v>
      </c>
      <c r="V146" s="1" t="s">
        <v>660</v>
      </c>
      <c r="W146" s="1" t="s">
        <v>1035</v>
      </c>
      <c r="X146" t="str">
        <f>IF(V146="","",VLOOKUP(V146,WMI!A:C,2,FALSE))</f>
        <v>Germany</v>
      </c>
      <c r="Y146" t="str">
        <f>IF(V146="","",VLOOKUP(V146,WMI!A:C,3,FALSE))</f>
        <v>Audi</v>
      </c>
      <c r="Z146">
        <f>IF(W146="","",VLOOKUP(W146,year!A:B,2,FALSE))</f>
        <v>2013</v>
      </c>
    </row>
    <row r="147" spans="1:26" x14ac:dyDescent="0.25">
      <c r="A147">
        <v>383</v>
      </c>
      <c r="B147" t="s">
        <v>1747</v>
      </c>
      <c r="C147" t="s">
        <v>2584</v>
      </c>
      <c r="D147" t="s">
        <v>2306</v>
      </c>
      <c r="E147" t="s">
        <v>2026</v>
      </c>
      <c r="F147" t="s">
        <v>2859</v>
      </c>
      <c r="G147" t="s">
        <v>1189</v>
      </c>
      <c r="H147" t="s">
        <v>3252</v>
      </c>
      <c r="I147" t="s">
        <v>3253</v>
      </c>
      <c r="J147" t="s">
        <v>3442</v>
      </c>
      <c r="K147" s="6" t="s">
        <v>3607</v>
      </c>
      <c r="L147" s="5" t="s">
        <v>3607</v>
      </c>
      <c r="M147" t="s">
        <v>1469</v>
      </c>
      <c r="N147" t="s">
        <v>1469</v>
      </c>
      <c r="O147" t="s">
        <v>16</v>
      </c>
      <c r="P147" t="s">
        <v>55</v>
      </c>
      <c r="Q147" t="s">
        <v>109</v>
      </c>
      <c r="R147" t="s">
        <v>316</v>
      </c>
      <c r="S147" s="4">
        <v>3570147657715390</v>
      </c>
      <c r="T147" t="s">
        <v>18</v>
      </c>
      <c r="U147" s="1">
        <v>8614.8799999999992</v>
      </c>
      <c r="V147" s="1" t="s">
        <v>660</v>
      </c>
      <c r="W147" s="1" t="s">
        <v>1035</v>
      </c>
      <c r="X147" t="str">
        <f>IF(V147="","",VLOOKUP(V147,WMI!A:C,2,FALSE))</f>
        <v>Germany</v>
      </c>
      <c r="Y147" t="str">
        <f>IF(V147="","",VLOOKUP(V147,WMI!A:C,3,FALSE))</f>
        <v>Audi</v>
      </c>
      <c r="Z147">
        <f>IF(W147="","",VLOOKUP(W147,year!A:B,2,FALSE))</f>
        <v>2013</v>
      </c>
    </row>
    <row r="148" spans="1:26" x14ac:dyDescent="0.25">
      <c r="A148">
        <v>418</v>
      </c>
      <c r="B148" t="s">
        <v>1748</v>
      </c>
      <c r="C148" t="s">
        <v>2585</v>
      </c>
      <c r="D148" t="s">
        <v>2307</v>
      </c>
      <c r="E148" t="s">
        <v>2027</v>
      </c>
      <c r="F148" t="s">
        <v>2860</v>
      </c>
      <c r="G148" t="s">
        <v>1190</v>
      </c>
      <c r="H148" t="s">
        <v>3254</v>
      </c>
      <c r="I148" t="s">
        <v>3255</v>
      </c>
      <c r="J148" t="s">
        <v>3446</v>
      </c>
      <c r="K148" s="6" t="s">
        <v>3608</v>
      </c>
      <c r="L148" s="5" t="s">
        <v>3608</v>
      </c>
      <c r="M148" t="s">
        <v>1470</v>
      </c>
      <c r="N148" t="s">
        <v>1470</v>
      </c>
      <c r="O148" t="s">
        <v>19</v>
      </c>
      <c r="P148" t="s">
        <v>53</v>
      </c>
      <c r="Q148" t="s">
        <v>337</v>
      </c>
      <c r="R148" t="s">
        <v>338</v>
      </c>
      <c r="S148" s="4">
        <v>201768613035921</v>
      </c>
      <c r="T148" t="s">
        <v>28</v>
      </c>
      <c r="U148" s="1">
        <v>6879</v>
      </c>
      <c r="V148" s="1" t="s">
        <v>660</v>
      </c>
      <c r="W148" s="1" t="s">
        <v>1035</v>
      </c>
      <c r="X148" t="str">
        <f>IF(V148="","",VLOOKUP(V148,WMI!A:C,2,FALSE))</f>
        <v>Germany</v>
      </c>
      <c r="Y148" t="str">
        <f>IF(V148="","",VLOOKUP(V148,WMI!A:C,3,FALSE))</f>
        <v>Audi</v>
      </c>
      <c r="Z148">
        <f>IF(W148="","",VLOOKUP(W148,year!A:B,2,FALSE))</f>
        <v>2013</v>
      </c>
    </row>
    <row r="149" spans="1:26" x14ac:dyDescent="0.25">
      <c r="A149">
        <v>474</v>
      </c>
      <c r="B149" t="s">
        <v>1749</v>
      </c>
      <c r="C149" t="s">
        <v>2586</v>
      </c>
      <c r="D149" t="s">
        <v>2308</v>
      </c>
      <c r="E149" t="s">
        <v>2028</v>
      </c>
      <c r="F149" t="s">
        <v>2861</v>
      </c>
      <c r="G149" t="s">
        <v>1191</v>
      </c>
      <c r="H149" t="s">
        <v>3256</v>
      </c>
      <c r="I149" t="s">
        <v>3257</v>
      </c>
      <c r="J149" t="s">
        <v>3453</v>
      </c>
      <c r="K149" s="6" t="s">
        <v>3609</v>
      </c>
      <c r="L149" s="5" t="s">
        <v>3609</v>
      </c>
      <c r="M149" t="s">
        <v>1471</v>
      </c>
      <c r="N149" t="s">
        <v>1471</v>
      </c>
      <c r="O149" t="s">
        <v>16</v>
      </c>
      <c r="P149" t="s">
        <v>60</v>
      </c>
      <c r="Q149" t="s">
        <v>271</v>
      </c>
      <c r="R149" t="s">
        <v>359</v>
      </c>
      <c r="S149" s="4">
        <v>4713800634165050</v>
      </c>
      <c r="T149" t="s">
        <v>119</v>
      </c>
      <c r="U149" s="1">
        <v>9635.7900000000009</v>
      </c>
      <c r="V149" s="1" t="s">
        <v>660</v>
      </c>
      <c r="W149" s="1" t="s">
        <v>1035</v>
      </c>
      <c r="X149" t="str">
        <f>IF(V149="","",VLOOKUP(V149,WMI!A:C,2,FALSE))</f>
        <v>Germany</v>
      </c>
      <c r="Y149" t="str">
        <f>IF(V149="","",VLOOKUP(V149,WMI!A:C,3,FALSE))</f>
        <v>Audi</v>
      </c>
      <c r="Z149">
        <f>IF(W149="","",VLOOKUP(W149,year!A:B,2,FALSE))</f>
        <v>2013</v>
      </c>
    </row>
    <row r="150" spans="1:26" x14ac:dyDescent="0.25">
      <c r="A150">
        <v>656</v>
      </c>
      <c r="B150" t="s">
        <v>1750</v>
      </c>
      <c r="C150" t="s">
        <v>2587</v>
      </c>
      <c r="D150" t="s">
        <v>2309</v>
      </c>
      <c r="E150" t="s">
        <v>2029</v>
      </c>
      <c r="F150" t="s">
        <v>2862</v>
      </c>
      <c r="G150" t="s">
        <v>1192</v>
      </c>
      <c r="H150" t="s">
        <v>3258</v>
      </c>
      <c r="I150" t="s">
        <v>3228</v>
      </c>
      <c r="J150" t="s">
        <v>3446</v>
      </c>
      <c r="K150" s="6" t="s">
        <v>3610</v>
      </c>
      <c r="L150" s="5" t="s">
        <v>3610</v>
      </c>
      <c r="M150" t="s">
        <v>1472</v>
      </c>
      <c r="N150" t="s">
        <v>1472</v>
      </c>
      <c r="O150" t="s">
        <v>16</v>
      </c>
      <c r="P150" t="s">
        <v>208</v>
      </c>
      <c r="Q150" t="s">
        <v>436</v>
      </c>
      <c r="R150" t="s">
        <v>437</v>
      </c>
      <c r="S150" s="4">
        <v>5.6105424128157498E+17</v>
      </c>
      <c r="T150" t="s">
        <v>34</v>
      </c>
      <c r="U150" s="1">
        <v>8522.4599999999991</v>
      </c>
      <c r="V150" s="1" t="s">
        <v>660</v>
      </c>
      <c r="W150" s="1" t="s">
        <v>1035</v>
      </c>
      <c r="X150" t="str">
        <f>IF(V150="","",VLOOKUP(V150,WMI!A:C,2,FALSE))</f>
        <v>Germany</v>
      </c>
      <c r="Y150" t="str">
        <f>IF(V150="","",VLOOKUP(V150,WMI!A:C,3,FALSE))</f>
        <v>Audi</v>
      </c>
      <c r="Z150">
        <f>IF(W150="","",VLOOKUP(W150,year!A:B,2,FALSE))</f>
        <v>2013</v>
      </c>
    </row>
    <row r="151" spans="1:26" x14ac:dyDescent="0.25">
      <c r="A151">
        <v>780</v>
      </c>
      <c r="B151" t="s">
        <v>1751</v>
      </c>
      <c r="C151" t="s">
        <v>2588</v>
      </c>
      <c r="D151" t="s">
        <v>2310</v>
      </c>
      <c r="E151" t="s">
        <v>2030</v>
      </c>
      <c r="F151" t="s">
        <v>2863</v>
      </c>
      <c r="G151" t="s">
        <v>1193</v>
      </c>
      <c r="H151" t="s">
        <v>3259</v>
      </c>
      <c r="I151" t="s">
        <v>3228</v>
      </c>
      <c r="J151" t="s">
        <v>3446</v>
      </c>
      <c r="K151" s="6" t="s">
        <v>3611</v>
      </c>
      <c r="L151" s="5" t="s">
        <v>3611</v>
      </c>
      <c r="M151" t="s">
        <v>1473</v>
      </c>
      <c r="N151" t="s">
        <v>1473</v>
      </c>
      <c r="O151" t="s">
        <v>19</v>
      </c>
      <c r="P151" t="s">
        <v>36</v>
      </c>
      <c r="Q151" t="s">
        <v>78</v>
      </c>
      <c r="R151" t="s">
        <v>493</v>
      </c>
      <c r="S151" s="4">
        <v>3546657802464190</v>
      </c>
      <c r="T151" t="s">
        <v>18</v>
      </c>
      <c r="U151" s="1">
        <v>7301.09</v>
      </c>
      <c r="V151" s="1" t="s">
        <v>660</v>
      </c>
      <c r="W151" s="1" t="s">
        <v>1035</v>
      </c>
      <c r="X151" t="str">
        <f>IF(V151="","",VLOOKUP(V151,WMI!A:C,2,FALSE))</f>
        <v>Germany</v>
      </c>
      <c r="Y151" t="str">
        <f>IF(V151="","",VLOOKUP(V151,WMI!A:C,3,FALSE))</f>
        <v>Audi</v>
      </c>
      <c r="Z151">
        <f>IF(W151="","",VLOOKUP(W151,year!A:B,2,FALSE))</f>
        <v>2013</v>
      </c>
    </row>
    <row r="152" spans="1:26" x14ac:dyDescent="0.25">
      <c r="A152">
        <v>841</v>
      </c>
      <c r="B152" t="s">
        <v>1752</v>
      </c>
      <c r="C152" t="s">
        <v>2589</v>
      </c>
      <c r="D152" t="s">
        <v>2311</v>
      </c>
      <c r="E152" t="s">
        <v>2031</v>
      </c>
      <c r="F152" t="s">
        <v>2864</v>
      </c>
      <c r="G152" t="s">
        <v>1194</v>
      </c>
      <c r="H152" t="s">
        <v>3260</v>
      </c>
      <c r="I152" t="s">
        <v>3261</v>
      </c>
      <c r="J152" t="s">
        <v>3439</v>
      </c>
      <c r="K152" s="6" t="s">
        <v>3612</v>
      </c>
      <c r="L152" s="5" t="s">
        <v>3612</v>
      </c>
      <c r="M152" t="s">
        <v>1474</v>
      </c>
      <c r="N152" t="s">
        <v>1474</v>
      </c>
      <c r="O152" t="s">
        <v>16</v>
      </c>
      <c r="P152" t="s">
        <v>107</v>
      </c>
      <c r="Q152" t="s">
        <v>517</v>
      </c>
      <c r="R152" t="s">
        <v>518</v>
      </c>
      <c r="S152" s="4">
        <v>4917706779753700</v>
      </c>
      <c r="T152" t="s">
        <v>26</v>
      </c>
      <c r="U152" s="1">
        <v>6565.02</v>
      </c>
      <c r="V152" s="1" t="s">
        <v>660</v>
      </c>
      <c r="W152" s="1" t="s">
        <v>1035</v>
      </c>
      <c r="X152" t="str">
        <f>IF(V152="","",VLOOKUP(V152,WMI!A:C,2,FALSE))</f>
        <v>Germany</v>
      </c>
      <c r="Y152" t="str">
        <f>IF(V152="","",VLOOKUP(V152,WMI!A:C,3,FALSE))</f>
        <v>Audi</v>
      </c>
      <c r="Z152">
        <f>IF(W152="","",VLOOKUP(W152,year!A:B,2,FALSE))</f>
        <v>2013</v>
      </c>
    </row>
    <row r="153" spans="1:26" x14ac:dyDescent="0.25">
      <c r="A153">
        <v>939</v>
      </c>
      <c r="B153" t="s">
        <v>1753</v>
      </c>
      <c r="C153" t="s">
        <v>2590</v>
      </c>
      <c r="D153" t="s">
        <v>2312</v>
      </c>
      <c r="E153" t="s">
        <v>2032</v>
      </c>
      <c r="F153" t="s">
        <v>2865</v>
      </c>
      <c r="G153" t="s">
        <v>1195</v>
      </c>
      <c r="H153" t="s">
        <v>3262</v>
      </c>
      <c r="I153" t="s">
        <v>3146</v>
      </c>
      <c r="J153" t="s">
        <v>2993</v>
      </c>
      <c r="K153" s="6" t="s">
        <v>3613</v>
      </c>
      <c r="L153" s="5" t="s">
        <v>3613</v>
      </c>
      <c r="M153" t="s">
        <v>1475</v>
      </c>
      <c r="N153" t="s">
        <v>1475</v>
      </c>
      <c r="O153" t="s">
        <v>16</v>
      </c>
      <c r="P153" t="s">
        <v>30</v>
      </c>
      <c r="Q153">
        <v>968</v>
      </c>
      <c r="R153" t="s">
        <v>562</v>
      </c>
      <c r="S153" s="4">
        <v>30337193990579</v>
      </c>
      <c r="T153" t="s">
        <v>46</v>
      </c>
      <c r="U153" s="1">
        <v>8301.34</v>
      </c>
      <c r="V153" s="1" t="s">
        <v>660</v>
      </c>
      <c r="W153" s="1" t="s">
        <v>1035</v>
      </c>
      <c r="X153" t="str">
        <f>IF(V153="","",VLOOKUP(V153,WMI!A:C,2,FALSE))</f>
        <v>Germany</v>
      </c>
      <c r="Y153" t="str">
        <f>IF(V153="","",VLOOKUP(V153,WMI!A:C,3,FALSE))</f>
        <v>Audi</v>
      </c>
      <c r="Z153">
        <f>IF(W153="","",VLOOKUP(W153,year!A:B,2,FALSE))</f>
        <v>2013</v>
      </c>
    </row>
    <row r="154" spans="1:26" x14ac:dyDescent="0.25">
      <c r="A154">
        <v>85</v>
      </c>
      <c r="B154" t="s">
        <v>1754</v>
      </c>
      <c r="C154" t="s">
        <v>2591</v>
      </c>
      <c r="D154" t="s">
        <v>2313</v>
      </c>
      <c r="E154" t="s">
        <v>2033</v>
      </c>
      <c r="F154" t="s">
        <v>2866</v>
      </c>
      <c r="G154" t="s">
        <v>1196</v>
      </c>
      <c r="H154" t="s">
        <v>3263</v>
      </c>
      <c r="I154" t="s">
        <v>3264</v>
      </c>
      <c r="J154" t="s">
        <v>3446</v>
      </c>
      <c r="K154" s="6" t="s">
        <v>3614</v>
      </c>
      <c r="L154" s="5" t="s">
        <v>3614</v>
      </c>
      <c r="M154" t="s">
        <v>1476</v>
      </c>
      <c r="N154" t="s">
        <v>1476</v>
      </c>
      <c r="O154" t="s">
        <v>19</v>
      </c>
      <c r="P154" t="s">
        <v>120</v>
      </c>
      <c r="Q154" t="s">
        <v>121</v>
      </c>
      <c r="R154" t="s">
        <v>122</v>
      </c>
      <c r="S154" s="4">
        <v>5257761344417190</v>
      </c>
      <c r="T154" t="s">
        <v>23</v>
      </c>
      <c r="U154" s="1">
        <v>9167.1299999999992</v>
      </c>
      <c r="V154" s="1" t="s">
        <v>661</v>
      </c>
      <c r="W154" s="1" t="s">
        <v>1035</v>
      </c>
      <c r="X154" t="str">
        <f>IF(V154="","",VLOOKUP(V154,WMI!A:C,2,FALSE))</f>
        <v>Germany</v>
      </c>
      <c r="Y154" t="str">
        <f>IF(V154="","",VLOOKUP(V154,WMI!A:C,3,FALSE))</f>
        <v>BMW</v>
      </c>
      <c r="Z154">
        <f>IF(W154="","",VLOOKUP(W154,year!A:B,2,FALSE))</f>
        <v>2013</v>
      </c>
    </row>
    <row r="155" spans="1:26" x14ac:dyDescent="0.25">
      <c r="A155">
        <v>120</v>
      </c>
      <c r="B155" t="s">
        <v>1755</v>
      </c>
      <c r="C155" t="s">
        <v>2592</v>
      </c>
      <c r="D155" t="s">
        <v>2314</v>
      </c>
      <c r="E155" t="s">
        <v>2034</v>
      </c>
      <c r="F155" t="s">
        <v>2867</v>
      </c>
      <c r="G155" t="s">
        <v>1197</v>
      </c>
      <c r="H155" t="s">
        <v>3265</v>
      </c>
      <c r="I155" t="s">
        <v>3266</v>
      </c>
      <c r="J155" t="s">
        <v>3437</v>
      </c>
      <c r="K155" s="6" t="s">
        <v>3615</v>
      </c>
      <c r="L155" s="5" t="s">
        <v>3615</v>
      </c>
      <c r="M155" t="s">
        <v>1477</v>
      </c>
      <c r="N155" t="s">
        <v>1477</v>
      </c>
      <c r="O155" t="s">
        <v>19</v>
      </c>
      <c r="P155" t="s">
        <v>156</v>
      </c>
      <c r="Q155" t="s">
        <v>157</v>
      </c>
      <c r="R155" t="s">
        <v>158</v>
      </c>
      <c r="S155" s="4">
        <v>3536159327652380</v>
      </c>
      <c r="T155" t="s">
        <v>18</v>
      </c>
      <c r="U155" s="1">
        <v>8755.2800000000007</v>
      </c>
      <c r="V155" s="1" t="s">
        <v>661</v>
      </c>
      <c r="W155" s="1" t="s">
        <v>1035</v>
      </c>
      <c r="X155" t="str">
        <f>IF(V155="","",VLOOKUP(V155,WMI!A:C,2,FALSE))</f>
        <v>Germany</v>
      </c>
      <c r="Y155" t="str">
        <f>IF(V155="","",VLOOKUP(V155,WMI!A:C,3,FALSE))</f>
        <v>BMW</v>
      </c>
      <c r="Z155">
        <f>IF(W155="","",VLOOKUP(W155,year!A:B,2,FALSE))</f>
        <v>2013</v>
      </c>
    </row>
    <row r="156" spans="1:26" x14ac:dyDescent="0.25">
      <c r="A156">
        <v>142</v>
      </c>
      <c r="B156" t="s">
        <v>1756</v>
      </c>
      <c r="C156" t="s">
        <v>2593</v>
      </c>
      <c r="D156" t="s">
        <v>2315</v>
      </c>
      <c r="E156" t="s">
        <v>2035</v>
      </c>
      <c r="F156" t="s">
        <v>2868</v>
      </c>
      <c r="G156" t="s">
        <v>1198</v>
      </c>
      <c r="H156" t="s">
        <v>3267</v>
      </c>
      <c r="I156" t="s">
        <v>3092</v>
      </c>
      <c r="J156" t="s">
        <v>3451</v>
      </c>
      <c r="K156" s="6" t="s">
        <v>3616</v>
      </c>
      <c r="L156" s="5" t="s">
        <v>3616</v>
      </c>
      <c r="M156" t="s">
        <v>1478</v>
      </c>
      <c r="N156" t="s">
        <v>1478</v>
      </c>
      <c r="O156" t="s">
        <v>16</v>
      </c>
      <c r="P156" t="s">
        <v>68</v>
      </c>
      <c r="Q156" t="s">
        <v>176</v>
      </c>
      <c r="R156" t="s">
        <v>177</v>
      </c>
      <c r="S156" s="4">
        <v>3551638555085640</v>
      </c>
      <c r="T156" t="s">
        <v>18</v>
      </c>
      <c r="U156" s="1">
        <v>5010.97</v>
      </c>
      <c r="V156" s="1" t="s">
        <v>661</v>
      </c>
      <c r="W156" s="1" t="s">
        <v>1035</v>
      </c>
      <c r="X156" t="str">
        <f>IF(V156="","",VLOOKUP(V156,WMI!A:C,2,FALSE))</f>
        <v>Germany</v>
      </c>
      <c r="Y156" t="str">
        <f>IF(V156="","",VLOOKUP(V156,WMI!A:C,3,FALSE))</f>
        <v>BMW</v>
      </c>
      <c r="Z156">
        <f>IF(W156="","",VLOOKUP(W156,year!A:B,2,FALSE))</f>
        <v>2013</v>
      </c>
    </row>
    <row r="157" spans="1:26" x14ac:dyDescent="0.25">
      <c r="A157">
        <v>201</v>
      </c>
      <c r="B157" t="s">
        <v>1757</v>
      </c>
      <c r="C157" t="s">
        <v>2594</v>
      </c>
      <c r="D157" t="s">
        <v>2316</v>
      </c>
      <c r="E157" t="s">
        <v>2036</v>
      </c>
      <c r="F157" t="s">
        <v>2869</v>
      </c>
      <c r="G157" t="s">
        <v>1199</v>
      </c>
      <c r="H157" t="s">
        <v>3268</v>
      </c>
      <c r="I157" t="s">
        <v>3269</v>
      </c>
      <c r="J157" t="s">
        <v>3458</v>
      </c>
      <c r="K157" s="6" t="s">
        <v>3617</v>
      </c>
      <c r="L157" s="5" t="s">
        <v>3617</v>
      </c>
      <c r="M157" t="s">
        <v>1479</v>
      </c>
      <c r="N157" t="s">
        <v>1479</v>
      </c>
      <c r="O157" t="s">
        <v>19</v>
      </c>
      <c r="P157" t="s">
        <v>49</v>
      </c>
      <c r="Q157" t="s">
        <v>212</v>
      </c>
      <c r="R157" t="s">
        <v>213</v>
      </c>
      <c r="S157" s="4">
        <v>5.6022560171549798E+18</v>
      </c>
      <c r="T157" t="s">
        <v>34</v>
      </c>
      <c r="U157" s="1">
        <v>7589.12</v>
      </c>
      <c r="V157" s="1" t="s">
        <v>661</v>
      </c>
      <c r="W157" s="1" t="s">
        <v>1035</v>
      </c>
      <c r="X157" t="str">
        <f>IF(V157="","",VLOOKUP(V157,WMI!A:C,2,FALSE))</f>
        <v>Germany</v>
      </c>
      <c r="Y157" t="str">
        <f>IF(V157="","",VLOOKUP(V157,WMI!A:C,3,FALSE))</f>
        <v>BMW</v>
      </c>
      <c r="Z157">
        <f>IF(W157="","",VLOOKUP(W157,year!A:B,2,FALSE))</f>
        <v>2013</v>
      </c>
    </row>
    <row r="158" spans="1:26" x14ac:dyDescent="0.25">
      <c r="A158">
        <v>242</v>
      </c>
      <c r="B158" t="s">
        <v>1758</v>
      </c>
      <c r="C158" t="s">
        <v>2595</v>
      </c>
      <c r="D158" t="s">
        <v>2317</v>
      </c>
      <c r="E158" t="s">
        <v>2037</v>
      </c>
      <c r="F158" t="s">
        <v>2870</v>
      </c>
      <c r="G158" t="s">
        <v>1200</v>
      </c>
      <c r="H158" t="s">
        <v>3270</v>
      </c>
      <c r="I158" t="s">
        <v>3271</v>
      </c>
      <c r="J158" t="s">
        <v>3439</v>
      </c>
      <c r="K158" s="6" t="s">
        <v>3618</v>
      </c>
      <c r="L158" s="5" t="s">
        <v>3618</v>
      </c>
      <c r="M158" t="s">
        <v>1480</v>
      </c>
      <c r="N158" t="s">
        <v>1480</v>
      </c>
      <c r="O158" t="s">
        <v>19</v>
      </c>
      <c r="P158" t="s">
        <v>17</v>
      </c>
      <c r="Q158" t="s">
        <v>244</v>
      </c>
      <c r="R158" t="s">
        <v>245</v>
      </c>
      <c r="S158" s="4">
        <v>3584104546023530</v>
      </c>
      <c r="T158" t="s">
        <v>18</v>
      </c>
      <c r="U158" s="1">
        <v>5344.88</v>
      </c>
      <c r="V158" s="1" t="s">
        <v>661</v>
      </c>
      <c r="W158" s="1" t="s">
        <v>1035</v>
      </c>
      <c r="X158" t="str">
        <f>IF(V158="","",VLOOKUP(V158,WMI!A:C,2,FALSE))</f>
        <v>Germany</v>
      </c>
      <c r="Y158" t="str">
        <f>IF(V158="","",VLOOKUP(V158,WMI!A:C,3,FALSE))</f>
        <v>BMW</v>
      </c>
      <c r="Z158">
        <f>IF(W158="","",VLOOKUP(W158,year!A:B,2,FALSE))</f>
        <v>2013</v>
      </c>
    </row>
    <row r="159" spans="1:26" x14ac:dyDescent="0.25">
      <c r="A159">
        <v>323</v>
      </c>
      <c r="B159" t="s">
        <v>1759</v>
      </c>
      <c r="C159" t="s">
        <v>2596</v>
      </c>
      <c r="D159" t="s">
        <v>2318</v>
      </c>
      <c r="E159" t="s">
        <v>2038</v>
      </c>
      <c r="F159" t="s">
        <v>2871</v>
      </c>
      <c r="G159" t="s">
        <v>1201</v>
      </c>
      <c r="H159" t="s">
        <v>3272</v>
      </c>
      <c r="I159" t="s">
        <v>3004</v>
      </c>
      <c r="J159" t="s">
        <v>3457</v>
      </c>
      <c r="K159" s="6" t="s">
        <v>3619</v>
      </c>
      <c r="L159" s="5" t="s">
        <v>3619</v>
      </c>
      <c r="M159" t="s">
        <v>1481</v>
      </c>
      <c r="N159" t="s">
        <v>1481</v>
      </c>
      <c r="O159" t="s">
        <v>16</v>
      </c>
      <c r="P159" t="s">
        <v>42</v>
      </c>
      <c r="Q159" t="s">
        <v>287</v>
      </c>
      <c r="R159" t="s">
        <v>288</v>
      </c>
      <c r="S159" s="4">
        <v>3545067587103460</v>
      </c>
      <c r="T159" t="s">
        <v>18</v>
      </c>
      <c r="U159" s="1">
        <v>6160.57</v>
      </c>
      <c r="V159" s="1" t="s">
        <v>661</v>
      </c>
      <c r="W159" s="1" t="s">
        <v>1035</v>
      </c>
      <c r="X159" t="str">
        <f>IF(V159="","",VLOOKUP(V159,WMI!A:C,2,FALSE))</f>
        <v>Germany</v>
      </c>
      <c r="Y159" t="str">
        <f>IF(V159="","",VLOOKUP(V159,WMI!A:C,3,FALSE))</f>
        <v>BMW</v>
      </c>
      <c r="Z159">
        <f>IF(W159="","",VLOOKUP(W159,year!A:B,2,FALSE))</f>
        <v>2013</v>
      </c>
    </row>
    <row r="160" spans="1:26" x14ac:dyDescent="0.25">
      <c r="A160">
        <v>340</v>
      </c>
      <c r="B160" t="s">
        <v>1760</v>
      </c>
      <c r="C160" t="s">
        <v>2597</v>
      </c>
      <c r="D160" t="s">
        <v>2319</v>
      </c>
      <c r="E160" t="s">
        <v>2039</v>
      </c>
      <c r="F160" t="s">
        <v>2872</v>
      </c>
      <c r="G160" t="s">
        <v>1202</v>
      </c>
      <c r="H160" t="s">
        <v>3273</v>
      </c>
      <c r="I160" t="s">
        <v>3274</v>
      </c>
      <c r="J160" t="s">
        <v>3439</v>
      </c>
      <c r="K160" s="6" t="s">
        <v>3620</v>
      </c>
      <c r="L160" s="5" t="s">
        <v>3620</v>
      </c>
      <c r="M160" t="s">
        <v>1482</v>
      </c>
      <c r="N160" t="s">
        <v>1482</v>
      </c>
      <c r="O160" t="s">
        <v>16</v>
      </c>
      <c r="P160" t="s">
        <v>30</v>
      </c>
      <c r="Q160">
        <v>911</v>
      </c>
      <c r="R160" t="s">
        <v>293</v>
      </c>
      <c r="S160" s="4">
        <v>3556013591427810</v>
      </c>
      <c r="T160" t="s">
        <v>18</v>
      </c>
      <c r="U160" s="1">
        <v>8304.27</v>
      </c>
      <c r="V160" s="1" t="s">
        <v>661</v>
      </c>
      <c r="W160" s="1" t="s">
        <v>1035</v>
      </c>
      <c r="X160" t="str">
        <f>IF(V160="","",VLOOKUP(V160,WMI!A:C,2,FALSE))</f>
        <v>Germany</v>
      </c>
      <c r="Y160" t="str">
        <f>IF(V160="","",VLOOKUP(V160,WMI!A:C,3,FALSE))</f>
        <v>BMW</v>
      </c>
      <c r="Z160">
        <f>IF(W160="","",VLOOKUP(W160,year!A:B,2,FALSE))</f>
        <v>2013</v>
      </c>
    </row>
    <row r="161" spans="1:26" x14ac:dyDescent="0.25">
      <c r="A161">
        <v>512</v>
      </c>
      <c r="B161" t="s">
        <v>1761</v>
      </c>
      <c r="C161" t="s">
        <v>2598</v>
      </c>
      <c r="D161" t="s">
        <v>2320</v>
      </c>
      <c r="E161" t="s">
        <v>2040</v>
      </c>
      <c r="F161" t="s">
        <v>2873</v>
      </c>
      <c r="G161" t="s">
        <v>1203</v>
      </c>
      <c r="H161" t="s">
        <v>3275</v>
      </c>
      <c r="I161" t="s">
        <v>3157</v>
      </c>
      <c r="J161" t="s">
        <v>3439</v>
      </c>
      <c r="K161" s="6" t="s">
        <v>3621</v>
      </c>
      <c r="L161" s="5" t="s">
        <v>3621</v>
      </c>
      <c r="M161" t="s">
        <v>1483</v>
      </c>
      <c r="N161" t="s">
        <v>1483</v>
      </c>
      <c r="O161" t="s">
        <v>16</v>
      </c>
      <c r="P161" t="s">
        <v>208</v>
      </c>
      <c r="Q161" t="s">
        <v>211</v>
      </c>
      <c r="R161" t="s">
        <v>375</v>
      </c>
      <c r="S161" s="4">
        <v>4952932541707</v>
      </c>
      <c r="T161" t="s">
        <v>119</v>
      </c>
      <c r="U161" s="1">
        <v>5486.47</v>
      </c>
      <c r="V161" s="1" t="s">
        <v>661</v>
      </c>
      <c r="W161" s="1" t="s">
        <v>1035</v>
      </c>
      <c r="X161" t="str">
        <f>IF(V161="","",VLOOKUP(V161,WMI!A:C,2,FALSE))</f>
        <v>Germany</v>
      </c>
      <c r="Y161" t="str">
        <f>IF(V161="","",VLOOKUP(V161,WMI!A:C,3,FALSE))</f>
        <v>BMW</v>
      </c>
      <c r="Z161">
        <f>IF(W161="","",VLOOKUP(W161,year!A:B,2,FALSE))</f>
        <v>2013</v>
      </c>
    </row>
    <row r="162" spans="1:26" x14ac:dyDescent="0.25">
      <c r="A162">
        <v>524</v>
      </c>
      <c r="B162" t="s">
        <v>1762</v>
      </c>
      <c r="C162" t="s">
        <v>2599</v>
      </c>
      <c r="D162" t="s">
        <v>2321</v>
      </c>
      <c r="E162" t="s">
        <v>2041</v>
      </c>
      <c r="F162" t="s">
        <v>2874</v>
      </c>
      <c r="G162" t="s">
        <v>1204</v>
      </c>
      <c r="H162" t="s">
        <v>3276</v>
      </c>
      <c r="I162" t="s">
        <v>3277</v>
      </c>
      <c r="J162" t="s">
        <v>3467</v>
      </c>
      <c r="K162" s="6" t="s">
        <v>3622</v>
      </c>
      <c r="L162" s="5" t="s">
        <v>3622</v>
      </c>
      <c r="M162" t="s">
        <v>1484</v>
      </c>
      <c r="N162" t="s">
        <v>1484</v>
      </c>
      <c r="O162" t="s">
        <v>16</v>
      </c>
      <c r="P162" t="s">
        <v>55</v>
      </c>
      <c r="Q162" t="s">
        <v>193</v>
      </c>
      <c r="R162" t="s">
        <v>383</v>
      </c>
      <c r="S162" s="4">
        <v>6759031084101830</v>
      </c>
      <c r="T162" t="s">
        <v>82</v>
      </c>
      <c r="U162" s="1">
        <v>5156.33</v>
      </c>
      <c r="V162" s="1" t="s">
        <v>661</v>
      </c>
      <c r="W162" s="1" t="s">
        <v>1035</v>
      </c>
      <c r="X162" t="str">
        <f>IF(V162="","",VLOOKUP(V162,WMI!A:C,2,FALSE))</f>
        <v>Germany</v>
      </c>
      <c r="Y162" t="str">
        <f>IF(V162="","",VLOOKUP(V162,WMI!A:C,3,FALSE))</f>
        <v>BMW</v>
      </c>
      <c r="Z162">
        <f>IF(W162="","",VLOOKUP(W162,year!A:B,2,FALSE))</f>
        <v>2013</v>
      </c>
    </row>
    <row r="163" spans="1:26" x14ac:dyDescent="0.25">
      <c r="A163">
        <v>743</v>
      </c>
      <c r="B163" t="s">
        <v>1763</v>
      </c>
      <c r="C163" t="s">
        <v>2600</v>
      </c>
      <c r="D163" t="s">
        <v>2322</v>
      </c>
      <c r="E163" t="s">
        <v>2042</v>
      </c>
      <c r="F163" t="s">
        <v>2875</v>
      </c>
      <c r="G163" t="s">
        <v>1205</v>
      </c>
      <c r="H163" t="s">
        <v>3278</v>
      </c>
      <c r="I163" t="s">
        <v>3064</v>
      </c>
      <c r="J163" t="s">
        <v>3443</v>
      </c>
      <c r="K163" s="6" t="s">
        <v>3498</v>
      </c>
      <c r="L163" s="5" t="s">
        <v>3498</v>
      </c>
      <c r="M163" t="s">
        <v>1485</v>
      </c>
      <c r="N163" t="s">
        <v>1485</v>
      </c>
      <c r="O163" t="s">
        <v>16</v>
      </c>
      <c r="P163" t="s">
        <v>105</v>
      </c>
      <c r="Q163" t="s">
        <v>477</v>
      </c>
      <c r="R163" t="s">
        <v>478</v>
      </c>
      <c r="S163" s="4">
        <v>3546272736150360</v>
      </c>
      <c r="T163" t="s">
        <v>18</v>
      </c>
      <c r="U163" s="1">
        <v>7021.3</v>
      </c>
      <c r="V163" s="1" t="s">
        <v>661</v>
      </c>
      <c r="W163" s="1" t="s">
        <v>1035</v>
      </c>
      <c r="X163" t="str">
        <f>IF(V163="","",VLOOKUP(V163,WMI!A:C,2,FALSE))</f>
        <v>Germany</v>
      </c>
      <c r="Y163" t="str">
        <f>IF(V163="","",VLOOKUP(V163,WMI!A:C,3,FALSE))</f>
        <v>BMW</v>
      </c>
      <c r="Z163">
        <f>IF(W163="","",VLOOKUP(W163,year!A:B,2,FALSE))</f>
        <v>2013</v>
      </c>
    </row>
    <row r="164" spans="1:26" x14ac:dyDescent="0.25">
      <c r="A164">
        <v>813</v>
      </c>
      <c r="B164" t="s">
        <v>1764</v>
      </c>
      <c r="C164" t="s">
        <v>2601</v>
      </c>
      <c r="D164" t="s">
        <v>2323</v>
      </c>
      <c r="E164" t="s">
        <v>2043</v>
      </c>
      <c r="F164" t="s">
        <v>2876</v>
      </c>
      <c r="G164" t="s">
        <v>1206</v>
      </c>
      <c r="H164" t="s">
        <v>3279</v>
      </c>
      <c r="I164" t="s">
        <v>3171</v>
      </c>
      <c r="J164" t="s">
        <v>3463</v>
      </c>
      <c r="K164" s="6" t="s">
        <v>3623</v>
      </c>
      <c r="L164" s="5" t="s">
        <v>3623</v>
      </c>
      <c r="M164" t="s">
        <v>1486</v>
      </c>
      <c r="N164" t="s">
        <v>1486</v>
      </c>
      <c r="O164" t="s">
        <v>16</v>
      </c>
      <c r="P164" t="s">
        <v>107</v>
      </c>
      <c r="Q164" t="s">
        <v>474</v>
      </c>
      <c r="R164" t="s">
        <v>508</v>
      </c>
      <c r="S164" s="4">
        <v>3586560913916970</v>
      </c>
      <c r="T164" t="s">
        <v>18</v>
      </c>
      <c r="U164" s="1">
        <v>6360.25</v>
      </c>
      <c r="V164" s="1" t="s">
        <v>661</v>
      </c>
      <c r="W164" s="1" t="s">
        <v>1035</v>
      </c>
      <c r="X164" t="str">
        <f>IF(V164="","",VLOOKUP(V164,WMI!A:C,2,FALSE))</f>
        <v>Germany</v>
      </c>
      <c r="Y164" t="str">
        <f>IF(V164="","",VLOOKUP(V164,WMI!A:C,3,FALSE))</f>
        <v>BMW</v>
      </c>
      <c r="Z164">
        <f>IF(W164="","",VLOOKUP(W164,year!A:B,2,FALSE))</f>
        <v>2013</v>
      </c>
    </row>
    <row r="165" spans="1:26" x14ac:dyDescent="0.25">
      <c r="A165">
        <v>182</v>
      </c>
      <c r="B165" t="s">
        <v>1765</v>
      </c>
      <c r="C165" t="s">
        <v>2602</v>
      </c>
      <c r="D165" t="s">
        <v>2324</v>
      </c>
      <c r="E165" t="s">
        <v>2044</v>
      </c>
      <c r="F165" t="s">
        <v>2877</v>
      </c>
      <c r="G165" t="s">
        <v>1207</v>
      </c>
      <c r="H165" t="s">
        <v>3280</v>
      </c>
      <c r="I165" t="s">
        <v>3281</v>
      </c>
      <c r="J165" t="s">
        <v>3456</v>
      </c>
      <c r="K165" s="6" t="s">
        <v>3624</v>
      </c>
      <c r="L165" s="5" t="s">
        <v>3624</v>
      </c>
      <c r="M165" t="s">
        <v>1487</v>
      </c>
      <c r="N165" t="s">
        <v>1487</v>
      </c>
      <c r="O165" t="s">
        <v>19</v>
      </c>
      <c r="P165" t="s">
        <v>20</v>
      </c>
      <c r="Q165" t="s">
        <v>198</v>
      </c>
      <c r="R165" t="s">
        <v>199</v>
      </c>
      <c r="S165" s="4">
        <v>3587832967578990</v>
      </c>
      <c r="T165" t="s">
        <v>18</v>
      </c>
      <c r="U165" s="1">
        <v>8327.02</v>
      </c>
      <c r="V165" s="1" t="s">
        <v>666</v>
      </c>
      <c r="W165" s="1" t="s">
        <v>1035</v>
      </c>
      <c r="X165" t="str">
        <f>IF(V165="","",VLOOKUP(V165,WMI!A:C,2,FALSE))</f>
        <v>Germany</v>
      </c>
      <c r="Y165" t="str">
        <f>IF(V165="","",VLOOKUP(V165,WMI!A:C,3,FALSE))</f>
        <v>DaimlerChrysler AG/Daimler AG</v>
      </c>
      <c r="Z165">
        <f>IF(W165="","",VLOOKUP(W165,year!A:B,2,FALSE))</f>
        <v>2013</v>
      </c>
    </row>
    <row r="166" spans="1:26" x14ac:dyDescent="0.25">
      <c r="A166">
        <v>444</v>
      </c>
      <c r="B166" t="s">
        <v>1766</v>
      </c>
      <c r="C166" t="s">
        <v>2603</v>
      </c>
      <c r="D166" t="s">
        <v>2325</v>
      </c>
      <c r="E166" t="s">
        <v>2045</v>
      </c>
      <c r="F166" t="s">
        <v>2878</v>
      </c>
      <c r="G166" t="s">
        <v>1208</v>
      </c>
      <c r="H166" t="s">
        <v>3282</v>
      </c>
      <c r="I166" t="s">
        <v>3043</v>
      </c>
      <c r="J166" t="s">
        <v>2994</v>
      </c>
      <c r="K166" s="6" t="s">
        <v>3625</v>
      </c>
      <c r="L166" s="5" t="s">
        <v>3625</v>
      </c>
      <c r="M166" t="s">
        <v>1488</v>
      </c>
      <c r="N166" t="s">
        <v>1488</v>
      </c>
      <c r="O166" t="s">
        <v>16</v>
      </c>
      <c r="P166" t="s">
        <v>79</v>
      </c>
      <c r="Q166" t="s">
        <v>281</v>
      </c>
      <c r="R166" t="s">
        <v>350</v>
      </c>
      <c r="S166" s="4">
        <v>6.3330547732902106E+17</v>
      </c>
      <c r="T166" t="s">
        <v>29</v>
      </c>
      <c r="U166" s="1">
        <v>9134.2999999999993</v>
      </c>
      <c r="V166" s="1" t="s">
        <v>666</v>
      </c>
      <c r="W166" s="1" t="s">
        <v>1035</v>
      </c>
      <c r="X166" t="str">
        <f>IF(V166="","",VLOOKUP(V166,WMI!A:C,2,FALSE))</f>
        <v>Germany</v>
      </c>
      <c r="Y166" t="str">
        <f>IF(V166="","",VLOOKUP(V166,WMI!A:C,3,FALSE))</f>
        <v>DaimlerChrysler AG/Daimler AG</v>
      </c>
      <c r="Z166">
        <f>IF(W166="","",VLOOKUP(W166,year!A:B,2,FALSE))</f>
        <v>2013</v>
      </c>
    </row>
    <row r="167" spans="1:26" x14ac:dyDescent="0.25">
      <c r="A167">
        <v>738</v>
      </c>
      <c r="B167" t="s">
        <v>1767</v>
      </c>
      <c r="C167" t="s">
        <v>2604</v>
      </c>
      <c r="D167" t="s">
        <v>2326</v>
      </c>
      <c r="E167" t="s">
        <v>2046</v>
      </c>
      <c r="F167" t="s">
        <v>2879</v>
      </c>
      <c r="G167" t="s">
        <v>1209</v>
      </c>
      <c r="H167" t="s">
        <v>3283</v>
      </c>
      <c r="I167" t="s">
        <v>3284</v>
      </c>
      <c r="J167" t="s">
        <v>3462</v>
      </c>
      <c r="K167" s="6" t="s">
        <v>3626</v>
      </c>
      <c r="L167" s="5" t="s">
        <v>3626</v>
      </c>
      <c r="M167" t="s">
        <v>1489</v>
      </c>
      <c r="N167" t="s">
        <v>1489</v>
      </c>
      <c r="O167" t="s">
        <v>19</v>
      </c>
      <c r="P167" t="s">
        <v>133</v>
      </c>
      <c r="Q167" t="s">
        <v>180</v>
      </c>
      <c r="R167" t="s">
        <v>475</v>
      </c>
      <c r="S167" s="4">
        <v>3575401184284100</v>
      </c>
      <c r="T167" t="s">
        <v>18</v>
      </c>
      <c r="U167" s="1">
        <v>5158.1899999999996</v>
      </c>
      <c r="V167" s="1" t="s">
        <v>666</v>
      </c>
      <c r="W167" s="1" t="s">
        <v>1035</v>
      </c>
      <c r="X167" t="str">
        <f>IF(V167="","",VLOOKUP(V167,WMI!A:C,2,FALSE))</f>
        <v>Germany</v>
      </c>
      <c r="Y167" t="str">
        <f>IF(V167="","",VLOOKUP(V167,WMI!A:C,3,FALSE))</f>
        <v>DaimlerChrysler AG/Daimler AG</v>
      </c>
      <c r="Z167">
        <f>IF(W167="","",VLOOKUP(W167,year!A:B,2,FALSE))</f>
        <v>2013</v>
      </c>
    </row>
    <row r="168" spans="1:26" x14ac:dyDescent="0.25">
      <c r="A168">
        <v>694</v>
      </c>
      <c r="B168" t="s">
        <v>1768</v>
      </c>
      <c r="C168" t="s">
        <v>2605</v>
      </c>
      <c r="D168" t="s">
        <v>2327</v>
      </c>
      <c r="E168" t="s">
        <v>2047</v>
      </c>
      <c r="F168" t="s">
        <v>2880</v>
      </c>
      <c r="G168" t="s">
        <v>1210</v>
      </c>
      <c r="H168" t="s">
        <v>3285</v>
      </c>
      <c r="I168" t="s">
        <v>3049</v>
      </c>
      <c r="J168" t="s">
        <v>3001</v>
      </c>
      <c r="K168" s="6" t="s">
        <v>3490</v>
      </c>
      <c r="L168" s="5" t="s">
        <v>3490</v>
      </c>
      <c r="M168" t="s">
        <v>1490</v>
      </c>
      <c r="N168" t="s">
        <v>1490</v>
      </c>
      <c r="O168" t="s">
        <v>19</v>
      </c>
      <c r="P168" t="s">
        <v>49</v>
      </c>
      <c r="Q168" t="s">
        <v>212</v>
      </c>
      <c r="R168" t="s">
        <v>458</v>
      </c>
      <c r="S168" s="4">
        <v>5447480099822830</v>
      </c>
      <c r="T168" t="s">
        <v>229</v>
      </c>
      <c r="U168" s="1">
        <v>5302.75</v>
      </c>
      <c r="V168" s="1" t="s">
        <v>681</v>
      </c>
      <c r="W168" s="1" t="s">
        <v>1035</v>
      </c>
      <c r="X168" t="str">
        <f>IF(V168="","",VLOOKUP(V168,WMI!A:C,2,FALSE))</f>
        <v>Germany</v>
      </c>
      <c r="Y168" t="str">
        <f>IF(V168="","",VLOOKUP(V168,WMI!A:C,3,FALSE))</f>
        <v>Volkswagen</v>
      </c>
      <c r="Z168">
        <f>IF(W168="","",VLOOKUP(W168,year!A:B,2,FALSE))</f>
        <v>2013</v>
      </c>
    </row>
    <row r="169" spans="1:26" x14ac:dyDescent="0.25">
      <c r="A169">
        <v>893</v>
      </c>
      <c r="B169" t="s">
        <v>1769</v>
      </c>
      <c r="C169" t="s">
        <v>2606</v>
      </c>
      <c r="D169" t="s">
        <v>2328</v>
      </c>
      <c r="E169" t="s">
        <v>2048</v>
      </c>
      <c r="F169" t="s">
        <v>2881</v>
      </c>
      <c r="G169" t="s">
        <v>1211</v>
      </c>
      <c r="H169" t="s">
        <v>3286</v>
      </c>
      <c r="I169" t="s">
        <v>3287</v>
      </c>
      <c r="J169" t="s">
        <v>3440</v>
      </c>
      <c r="K169" s="6" t="s">
        <v>3627</v>
      </c>
      <c r="L169" s="5" t="s">
        <v>3627</v>
      </c>
      <c r="M169" t="s">
        <v>1491</v>
      </c>
      <c r="N169" t="s">
        <v>1491</v>
      </c>
      <c r="O169" t="s">
        <v>19</v>
      </c>
      <c r="P169" t="s">
        <v>147</v>
      </c>
      <c r="Q169" t="s">
        <v>536</v>
      </c>
      <c r="R169" t="s">
        <v>537</v>
      </c>
      <c r="S169" s="4">
        <v>4026390464164000</v>
      </c>
      <c r="T169" t="s">
        <v>26</v>
      </c>
      <c r="U169" s="1">
        <v>5283.28</v>
      </c>
      <c r="V169" s="1" t="s">
        <v>681</v>
      </c>
      <c r="W169" s="1" t="s">
        <v>1035</v>
      </c>
      <c r="X169" t="str">
        <f>IF(V169="","",VLOOKUP(V169,WMI!A:C,2,FALSE))</f>
        <v>Germany</v>
      </c>
      <c r="Y169" t="str">
        <f>IF(V169="","",VLOOKUP(V169,WMI!A:C,3,FALSE))</f>
        <v>Volkswagen</v>
      </c>
      <c r="Z169">
        <f>IF(W169="","",VLOOKUP(W169,year!A:B,2,FALSE))</f>
        <v>2013</v>
      </c>
    </row>
    <row r="170" spans="1:26" x14ac:dyDescent="0.25">
      <c r="A170">
        <v>373</v>
      </c>
      <c r="B170" t="s">
        <v>1770</v>
      </c>
      <c r="C170" t="s">
        <v>2607</v>
      </c>
      <c r="D170" t="s">
        <v>2329</v>
      </c>
      <c r="E170" t="s">
        <v>2049</v>
      </c>
      <c r="F170" t="s">
        <v>2882</v>
      </c>
      <c r="G170" t="s">
        <v>1212</v>
      </c>
      <c r="H170" t="s">
        <v>3288</v>
      </c>
      <c r="I170" t="s">
        <v>3220</v>
      </c>
      <c r="J170" t="s">
        <v>3002</v>
      </c>
      <c r="K170" s="6" t="s">
        <v>3628</v>
      </c>
      <c r="L170" s="5" t="s">
        <v>3628</v>
      </c>
      <c r="M170" t="s">
        <v>1492</v>
      </c>
      <c r="N170" t="s">
        <v>1492</v>
      </c>
      <c r="O170" t="s">
        <v>16</v>
      </c>
      <c r="P170" t="s">
        <v>133</v>
      </c>
      <c r="Q170" t="s">
        <v>311</v>
      </c>
      <c r="R170" t="s">
        <v>312</v>
      </c>
      <c r="S170" s="4">
        <v>3559472400616150</v>
      </c>
      <c r="T170" t="s">
        <v>18</v>
      </c>
      <c r="U170" s="1">
        <v>5972.36</v>
      </c>
      <c r="V170" s="1" t="s">
        <v>776</v>
      </c>
      <c r="W170" s="1" t="s">
        <v>1035</v>
      </c>
      <c r="X170" t="str">
        <f>IF(V170="","",VLOOKUP(V170,WMI!A:C,2,FALSE))</f>
        <v>Japan</v>
      </c>
      <c r="Y170" t="str">
        <f>IF(V170="","",VLOOKUP(V170,WMI!A:C,3,FALSE))</f>
        <v>Honda</v>
      </c>
      <c r="Z170">
        <f>IF(W170="","",VLOOKUP(W170,year!A:B,2,FALSE))</f>
        <v>2013</v>
      </c>
    </row>
    <row r="171" spans="1:26" x14ac:dyDescent="0.25">
      <c r="A171">
        <v>140</v>
      </c>
      <c r="B171" t="s">
        <v>1771</v>
      </c>
      <c r="C171" t="s">
        <v>2608</v>
      </c>
      <c r="D171" t="s">
        <v>2330</v>
      </c>
      <c r="E171" t="s">
        <v>2050</v>
      </c>
      <c r="F171" t="s">
        <v>2883</v>
      </c>
      <c r="G171" t="s">
        <v>1213</v>
      </c>
      <c r="H171" t="s">
        <v>3289</v>
      </c>
      <c r="I171" t="s">
        <v>3290</v>
      </c>
      <c r="J171" t="s">
        <v>3441</v>
      </c>
      <c r="K171" s="6" t="s">
        <v>3629</v>
      </c>
      <c r="L171" s="5" t="s">
        <v>3629</v>
      </c>
      <c r="M171" t="s">
        <v>1493</v>
      </c>
      <c r="N171" t="s">
        <v>1493</v>
      </c>
      <c r="O171" t="s">
        <v>16</v>
      </c>
      <c r="P171" t="s">
        <v>173</v>
      </c>
      <c r="Q171" t="s">
        <v>174</v>
      </c>
      <c r="R171" t="s">
        <v>175</v>
      </c>
      <c r="S171" s="4">
        <v>5.6100945696365901E+17</v>
      </c>
      <c r="T171" t="s">
        <v>34</v>
      </c>
      <c r="U171" s="1">
        <v>5702.52</v>
      </c>
      <c r="V171" s="1" t="s">
        <v>728</v>
      </c>
      <c r="W171" s="1" t="s">
        <v>1035</v>
      </c>
      <c r="X171" t="str">
        <f>IF(V171="","",VLOOKUP(V171,WMI!A:C,2,FALSE))</f>
        <v>Mexico</v>
      </c>
      <c r="Y171" t="str">
        <f>IF(V171="","",VLOOKUP(V171,WMI!A:C,3,FALSE))</f>
        <v>Volkswagen</v>
      </c>
      <c r="Z171">
        <f>IF(W171="","",VLOOKUP(W171,year!A:B,2,FALSE))</f>
        <v>2013</v>
      </c>
    </row>
    <row r="172" spans="1:26" x14ac:dyDescent="0.25">
      <c r="A172">
        <v>405</v>
      </c>
      <c r="B172" t="s">
        <v>1772</v>
      </c>
      <c r="C172" t="s">
        <v>2609</v>
      </c>
      <c r="D172" t="s">
        <v>2331</v>
      </c>
      <c r="E172" t="s">
        <v>2051</v>
      </c>
      <c r="F172" t="s">
        <v>2884</v>
      </c>
      <c r="G172" t="s">
        <v>1214</v>
      </c>
      <c r="H172" t="s">
        <v>3291</v>
      </c>
      <c r="I172" t="s">
        <v>3157</v>
      </c>
      <c r="J172" t="s">
        <v>3439</v>
      </c>
      <c r="K172" s="6" t="s">
        <v>3630</v>
      </c>
      <c r="L172" s="5" t="s">
        <v>3630</v>
      </c>
      <c r="M172" t="s">
        <v>1494</v>
      </c>
      <c r="N172" t="s">
        <v>1494</v>
      </c>
      <c r="O172" t="s">
        <v>19</v>
      </c>
      <c r="P172" t="s">
        <v>107</v>
      </c>
      <c r="Q172" t="s">
        <v>321</v>
      </c>
      <c r="R172" t="s">
        <v>328</v>
      </c>
      <c r="S172" s="4">
        <v>6.7719245336548803E+18</v>
      </c>
      <c r="T172" t="s">
        <v>41</v>
      </c>
      <c r="U172" s="1">
        <v>5882.53</v>
      </c>
      <c r="V172" s="1" t="s">
        <v>728</v>
      </c>
      <c r="W172" s="1" t="s">
        <v>1035</v>
      </c>
      <c r="X172" t="str">
        <f>IF(V172="","",VLOOKUP(V172,WMI!A:C,2,FALSE))</f>
        <v>Mexico</v>
      </c>
      <c r="Y172" t="str">
        <f>IF(V172="","",VLOOKUP(V172,WMI!A:C,3,FALSE))</f>
        <v>Volkswagen</v>
      </c>
      <c r="Z172">
        <f>IF(W172="","",VLOOKUP(W172,year!A:B,2,FALSE))</f>
        <v>2013</v>
      </c>
    </row>
    <row r="173" spans="1:26" x14ac:dyDescent="0.25">
      <c r="A173">
        <v>527</v>
      </c>
      <c r="B173" t="s">
        <v>1773</v>
      </c>
      <c r="C173" t="s">
        <v>2610</v>
      </c>
      <c r="D173" t="s">
        <v>2332</v>
      </c>
      <c r="E173" t="s">
        <v>2052</v>
      </c>
      <c r="F173" t="s">
        <v>2885</v>
      </c>
      <c r="G173" t="s">
        <v>1215</v>
      </c>
      <c r="H173" t="s">
        <v>3292</v>
      </c>
      <c r="I173" t="s">
        <v>3293</v>
      </c>
      <c r="J173" t="s">
        <v>3441</v>
      </c>
      <c r="K173" s="6" t="s">
        <v>3631</v>
      </c>
      <c r="L173" s="5" t="s">
        <v>3631</v>
      </c>
      <c r="M173" t="s">
        <v>1495</v>
      </c>
      <c r="N173" t="s">
        <v>1495</v>
      </c>
      <c r="O173" t="s">
        <v>16</v>
      </c>
      <c r="P173" t="s">
        <v>43</v>
      </c>
      <c r="Q173">
        <v>530</v>
      </c>
      <c r="R173" t="s">
        <v>385</v>
      </c>
      <c r="S173" s="4">
        <v>3563770506656680</v>
      </c>
      <c r="T173" t="s">
        <v>18</v>
      </c>
      <c r="U173" s="1">
        <v>5181.0200000000004</v>
      </c>
      <c r="V173" s="1" t="s">
        <v>728</v>
      </c>
      <c r="W173" s="1" t="s">
        <v>1035</v>
      </c>
      <c r="X173" t="str">
        <f>IF(V173="","",VLOOKUP(V173,WMI!A:C,2,FALSE))</f>
        <v>Mexico</v>
      </c>
      <c r="Y173" t="str">
        <f>IF(V173="","",VLOOKUP(V173,WMI!A:C,3,FALSE))</f>
        <v>Volkswagen</v>
      </c>
      <c r="Z173">
        <f>IF(W173="","",VLOOKUP(W173,year!A:B,2,FALSE))</f>
        <v>2013</v>
      </c>
    </row>
    <row r="174" spans="1:26" x14ac:dyDescent="0.25">
      <c r="A174">
        <v>749</v>
      </c>
      <c r="B174" t="s">
        <v>1774</v>
      </c>
      <c r="C174" t="s">
        <v>2611</v>
      </c>
      <c r="D174" t="s">
        <v>2333</v>
      </c>
      <c r="E174" t="s">
        <v>2053</v>
      </c>
      <c r="F174" t="s">
        <v>2886</v>
      </c>
      <c r="G174" t="s">
        <v>1216</v>
      </c>
      <c r="H174" t="s">
        <v>3294</v>
      </c>
      <c r="I174" t="s">
        <v>3157</v>
      </c>
      <c r="J174" t="s">
        <v>3439</v>
      </c>
      <c r="K174" s="6" t="s">
        <v>3632</v>
      </c>
      <c r="L174" s="5" t="s">
        <v>3632</v>
      </c>
      <c r="M174" t="s">
        <v>1496</v>
      </c>
      <c r="N174" t="s">
        <v>1496</v>
      </c>
      <c r="O174" t="s">
        <v>16</v>
      </c>
      <c r="P174" t="s">
        <v>43</v>
      </c>
      <c r="Q174" t="s">
        <v>480</v>
      </c>
      <c r="R174" t="s">
        <v>481</v>
      </c>
      <c r="S174" s="4">
        <v>6.70933731760785E+18</v>
      </c>
      <c r="T174" t="s">
        <v>41</v>
      </c>
      <c r="U174" s="1">
        <v>6812.24</v>
      </c>
      <c r="V174" s="1" t="s">
        <v>728</v>
      </c>
      <c r="W174" s="1" t="s">
        <v>1035</v>
      </c>
      <c r="X174" t="str">
        <f>IF(V174="","",VLOOKUP(V174,WMI!A:C,2,FALSE))</f>
        <v>Mexico</v>
      </c>
      <c r="Y174" t="str">
        <f>IF(V174="","",VLOOKUP(V174,WMI!A:C,3,FALSE))</f>
        <v>Volkswagen</v>
      </c>
      <c r="Z174">
        <f>IF(W174="","",VLOOKUP(W174,year!A:B,2,FALSE))</f>
        <v>2013</v>
      </c>
    </row>
    <row r="175" spans="1:26" x14ac:dyDescent="0.25">
      <c r="A175">
        <v>248</v>
      </c>
      <c r="B175" t="s">
        <v>1775</v>
      </c>
      <c r="C175" t="s">
        <v>2612</v>
      </c>
      <c r="D175" t="s">
        <v>2334</v>
      </c>
      <c r="E175" t="s">
        <v>2054</v>
      </c>
      <c r="F175" t="s">
        <v>2887</v>
      </c>
      <c r="G175" t="s">
        <v>1217</v>
      </c>
      <c r="H175" t="s">
        <v>3295</v>
      </c>
      <c r="I175" t="s">
        <v>3296</v>
      </c>
      <c r="J175" t="s">
        <v>3445</v>
      </c>
      <c r="K175" s="6" t="s">
        <v>3633</v>
      </c>
      <c r="L175" s="5" t="s">
        <v>3633</v>
      </c>
      <c r="M175" t="s">
        <v>1497</v>
      </c>
      <c r="N175" t="s">
        <v>1497</v>
      </c>
      <c r="O175" t="s">
        <v>16</v>
      </c>
      <c r="P175" t="s">
        <v>59</v>
      </c>
      <c r="Q175" t="s">
        <v>249</v>
      </c>
      <c r="R175" t="s">
        <v>250</v>
      </c>
      <c r="S175" s="4">
        <v>3539827672949520</v>
      </c>
      <c r="T175" t="s">
        <v>18</v>
      </c>
      <c r="U175" s="1">
        <v>6280.08</v>
      </c>
      <c r="V175" s="1" t="s">
        <v>781</v>
      </c>
      <c r="W175" s="1" t="s">
        <v>1035</v>
      </c>
      <c r="X175" t="str">
        <f>IF(V175="","",VLOOKUP(V175,WMI!A:C,2,FALSE))</f>
        <v>South Korea</v>
      </c>
      <c r="Y175" t="str">
        <f>IF(V175="","",VLOOKUP(V175,WMI!A:C,3,FALSE))</f>
        <v>Hyundai</v>
      </c>
      <c r="Z175">
        <f>IF(W175="","",VLOOKUP(W175,year!A:B,2,FALSE))</f>
        <v>2013</v>
      </c>
    </row>
    <row r="176" spans="1:26" x14ac:dyDescent="0.25">
      <c r="A176">
        <v>270</v>
      </c>
      <c r="B176" t="s">
        <v>1776</v>
      </c>
      <c r="C176" t="s">
        <v>2613</v>
      </c>
      <c r="D176" t="s">
        <v>2335</v>
      </c>
      <c r="E176" t="s">
        <v>2055</v>
      </c>
      <c r="F176" t="s">
        <v>2888</v>
      </c>
      <c r="G176" t="s">
        <v>1218</v>
      </c>
      <c r="H176" t="s">
        <v>3297</v>
      </c>
      <c r="I176" t="s">
        <v>3298</v>
      </c>
      <c r="J176" t="s">
        <v>3003</v>
      </c>
      <c r="K176" s="6" t="s">
        <v>3634</v>
      </c>
      <c r="L176" s="5" t="s">
        <v>3634</v>
      </c>
      <c r="M176" t="s">
        <v>1498</v>
      </c>
      <c r="N176" t="s">
        <v>1498</v>
      </c>
      <c r="O176" t="s">
        <v>19</v>
      </c>
      <c r="P176" t="s">
        <v>223</v>
      </c>
      <c r="Q176" t="s">
        <v>266</v>
      </c>
      <c r="R176" t="s">
        <v>267</v>
      </c>
      <c r="S176" s="4">
        <v>3557506029646740</v>
      </c>
      <c r="T176" t="s">
        <v>18</v>
      </c>
      <c r="U176" s="1">
        <v>6086.69</v>
      </c>
      <c r="V176" s="1" t="s">
        <v>781</v>
      </c>
      <c r="W176" s="1" t="s">
        <v>1035</v>
      </c>
      <c r="X176" t="str">
        <f>IF(V176="","",VLOOKUP(V176,WMI!A:C,2,FALSE))</f>
        <v>South Korea</v>
      </c>
      <c r="Y176" t="str">
        <f>IF(V176="","",VLOOKUP(V176,WMI!A:C,3,FALSE))</f>
        <v>Hyundai</v>
      </c>
      <c r="Z176">
        <f>IF(W176="","",VLOOKUP(W176,year!A:B,2,FALSE))</f>
        <v>2013</v>
      </c>
    </row>
    <row r="177" spans="1:26" x14ac:dyDescent="0.25">
      <c r="A177">
        <v>315</v>
      </c>
      <c r="B177" t="s">
        <v>1777</v>
      </c>
      <c r="C177" t="s">
        <v>2614</v>
      </c>
      <c r="D177" t="s">
        <v>2336</v>
      </c>
      <c r="E177" t="s">
        <v>2056</v>
      </c>
      <c r="F177" t="s">
        <v>2889</v>
      </c>
      <c r="G177" t="s">
        <v>1219</v>
      </c>
      <c r="H177" t="s">
        <v>3299</v>
      </c>
      <c r="I177" t="s">
        <v>3125</v>
      </c>
      <c r="J177" t="s">
        <v>3459</v>
      </c>
      <c r="K177" s="6" t="s">
        <v>3635</v>
      </c>
      <c r="L177" s="5" t="s">
        <v>3635</v>
      </c>
      <c r="M177" t="s">
        <v>1499</v>
      </c>
      <c r="N177" t="s">
        <v>1499</v>
      </c>
      <c r="O177" t="s">
        <v>19</v>
      </c>
      <c r="P177" t="s">
        <v>59</v>
      </c>
      <c r="Q177" t="s">
        <v>102</v>
      </c>
      <c r="R177" t="s">
        <v>282</v>
      </c>
      <c r="S177" s="4">
        <v>6304448821830800</v>
      </c>
      <c r="T177" t="s">
        <v>82</v>
      </c>
      <c r="U177" s="1">
        <v>8485.84</v>
      </c>
      <c r="V177" s="1" t="s">
        <v>781</v>
      </c>
      <c r="W177" s="1" t="s">
        <v>1035</v>
      </c>
      <c r="X177" t="str">
        <f>IF(V177="","",VLOOKUP(V177,WMI!A:C,2,FALSE))</f>
        <v>South Korea</v>
      </c>
      <c r="Y177" t="str">
        <f>IF(V177="","",VLOOKUP(V177,WMI!A:C,3,FALSE))</f>
        <v>Hyundai</v>
      </c>
      <c r="Z177">
        <f>IF(W177="","",VLOOKUP(W177,year!A:B,2,FALSE))</f>
        <v>2013</v>
      </c>
    </row>
    <row r="178" spans="1:26" x14ac:dyDescent="0.25">
      <c r="A178">
        <v>389</v>
      </c>
      <c r="B178" t="s">
        <v>1778</v>
      </c>
      <c r="C178" t="s">
        <v>2615</v>
      </c>
      <c r="D178" t="s">
        <v>2337</v>
      </c>
      <c r="E178" t="s">
        <v>2057</v>
      </c>
      <c r="F178" t="s">
        <v>2890</v>
      </c>
      <c r="G178" t="s">
        <v>1220</v>
      </c>
      <c r="H178" t="s">
        <v>3300</v>
      </c>
      <c r="I178" t="s">
        <v>2995</v>
      </c>
      <c r="J178" t="s">
        <v>2996</v>
      </c>
      <c r="K178" s="6" t="s">
        <v>3636</v>
      </c>
      <c r="L178" s="5" t="s">
        <v>3636</v>
      </c>
      <c r="M178" t="s">
        <v>1500</v>
      </c>
      <c r="N178" t="s">
        <v>1500</v>
      </c>
      <c r="O178" t="s">
        <v>16</v>
      </c>
      <c r="P178" t="s">
        <v>147</v>
      </c>
      <c r="Q178" t="s">
        <v>319</v>
      </c>
      <c r="R178" t="s">
        <v>320</v>
      </c>
      <c r="S178" s="4">
        <v>3583687815405040</v>
      </c>
      <c r="T178" t="s">
        <v>18</v>
      </c>
      <c r="U178" s="1">
        <v>5043.59</v>
      </c>
      <c r="V178" s="1" t="s">
        <v>692</v>
      </c>
      <c r="W178" s="1" t="s">
        <v>1035</v>
      </c>
      <c r="X178" t="str">
        <f>IF(V178="","",VLOOKUP(V178,WMI!A:C,2,FALSE))</f>
        <v>Sweden</v>
      </c>
      <c r="Y178" t="str">
        <f>IF(V178="","",VLOOKUP(V178,WMI!A:C,3,FALSE))</f>
        <v>Volvo Cars</v>
      </c>
      <c r="Z178">
        <f>IF(W178="","",VLOOKUP(W178,year!A:B,2,FALSE))</f>
        <v>2013</v>
      </c>
    </row>
    <row r="179" spans="1:26" x14ac:dyDescent="0.25">
      <c r="A179">
        <v>666</v>
      </c>
      <c r="B179" t="s">
        <v>1779</v>
      </c>
      <c r="C179" t="s">
        <v>2616</v>
      </c>
      <c r="D179" t="s">
        <v>2338</v>
      </c>
      <c r="E179" t="s">
        <v>2058</v>
      </c>
      <c r="F179" t="s">
        <v>2891</v>
      </c>
      <c r="G179" t="s">
        <v>1221</v>
      </c>
      <c r="H179" t="s">
        <v>3301</v>
      </c>
      <c r="I179" t="s">
        <v>3119</v>
      </c>
      <c r="J179" t="s">
        <v>2993</v>
      </c>
      <c r="K179" s="6" t="s">
        <v>3637</v>
      </c>
      <c r="L179" s="5" t="s">
        <v>3637</v>
      </c>
      <c r="M179" t="s">
        <v>1501</v>
      </c>
      <c r="N179" t="s">
        <v>1501</v>
      </c>
      <c r="O179" t="s">
        <v>16</v>
      </c>
      <c r="P179" t="s">
        <v>59</v>
      </c>
      <c r="Q179" t="s">
        <v>443</v>
      </c>
      <c r="R179" t="s">
        <v>444</v>
      </c>
      <c r="S179" s="4">
        <v>4405517571807430</v>
      </c>
      <c r="T179" t="s">
        <v>26</v>
      </c>
      <c r="U179" s="1">
        <v>8892.7000000000007</v>
      </c>
      <c r="V179" s="1" t="s">
        <v>692</v>
      </c>
      <c r="W179" s="1" t="s">
        <v>1035</v>
      </c>
      <c r="X179" t="str">
        <f>IF(V179="","",VLOOKUP(V179,WMI!A:C,2,FALSE))</f>
        <v>Sweden</v>
      </c>
      <c r="Y179" t="str">
        <f>IF(V179="","",VLOOKUP(V179,WMI!A:C,3,FALSE))</f>
        <v>Volvo Cars</v>
      </c>
      <c r="Z179">
        <f>IF(W179="","",VLOOKUP(W179,year!A:B,2,FALSE))</f>
        <v>2013</v>
      </c>
    </row>
    <row r="180" spans="1:26" x14ac:dyDescent="0.25">
      <c r="A180">
        <v>805</v>
      </c>
      <c r="B180" t="s">
        <v>1780</v>
      </c>
      <c r="C180" t="s">
        <v>2617</v>
      </c>
      <c r="D180" t="s">
        <v>2339</v>
      </c>
      <c r="E180" t="s">
        <v>2059</v>
      </c>
      <c r="F180" t="s">
        <v>2892</v>
      </c>
      <c r="G180" t="s">
        <v>1222</v>
      </c>
      <c r="H180" t="s">
        <v>3302</v>
      </c>
      <c r="I180" t="s">
        <v>3303</v>
      </c>
      <c r="J180" t="s">
        <v>3462</v>
      </c>
      <c r="K180" s="6" t="s">
        <v>3638</v>
      </c>
      <c r="L180" s="5" t="s">
        <v>3638</v>
      </c>
      <c r="M180" t="s">
        <v>1502</v>
      </c>
      <c r="N180" t="s">
        <v>1502</v>
      </c>
      <c r="O180" t="s">
        <v>19</v>
      </c>
      <c r="P180" t="s">
        <v>24</v>
      </c>
      <c r="Q180" t="s">
        <v>403</v>
      </c>
      <c r="R180" t="s">
        <v>502</v>
      </c>
      <c r="S180" s="4">
        <v>201603762133856</v>
      </c>
      <c r="T180" t="s">
        <v>28</v>
      </c>
      <c r="U180" s="1">
        <v>5993.49</v>
      </c>
      <c r="V180" s="1" t="s">
        <v>630</v>
      </c>
      <c r="W180" s="1" t="s">
        <v>1035</v>
      </c>
      <c r="X180" t="str">
        <f>IF(V180="","",VLOOKUP(V180,WMI!A:C,2,FALSE))</f>
        <v>United Kingdom</v>
      </c>
      <c r="Y180" t="str">
        <f>IF(V180="","",VLOOKUP(V180,WMI!A:C,3,FALSE))</f>
        <v>Aston Martin Lagonda Limited</v>
      </c>
      <c r="Z180">
        <f>IF(W180="","",VLOOKUP(W180,year!A:B,2,FALSE))</f>
        <v>2013</v>
      </c>
    </row>
    <row r="181" spans="1:26" x14ac:dyDescent="0.25">
      <c r="A181">
        <v>810</v>
      </c>
      <c r="B181" t="s">
        <v>1781</v>
      </c>
      <c r="C181" t="s">
        <v>2618</v>
      </c>
      <c r="D181" t="s">
        <v>2340</v>
      </c>
      <c r="E181" t="s">
        <v>2060</v>
      </c>
      <c r="F181" t="s">
        <v>2893</v>
      </c>
      <c r="G181" t="s">
        <v>1223</v>
      </c>
      <c r="H181" t="s">
        <v>3304</v>
      </c>
      <c r="I181" t="s">
        <v>3096</v>
      </c>
      <c r="J181" t="s">
        <v>2993</v>
      </c>
      <c r="K181" s="6" t="s">
        <v>3606</v>
      </c>
      <c r="L181" s="5" t="s">
        <v>3606</v>
      </c>
      <c r="M181" t="s">
        <v>1503</v>
      </c>
      <c r="N181" t="s">
        <v>1503</v>
      </c>
      <c r="O181" t="s">
        <v>16</v>
      </c>
      <c r="P181" t="s">
        <v>208</v>
      </c>
      <c r="Q181" t="s">
        <v>505</v>
      </c>
      <c r="R181" t="s">
        <v>506</v>
      </c>
      <c r="S181" s="4">
        <v>4005258198139</v>
      </c>
      <c r="T181" t="s">
        <v>119</v>
      </c>
      <c r="U181" s="1">
        <v>6205.82</v>
      </c>
      <c r="V181" s="1" t="s">
        <v>630</v>
      </c>
      <c r="W181" s="1" t="s">
        <v>1035</v>
      </c>
      <c r="X181" t="str">
        <f>IF(V181="","",VLOOKUP(V181,WMI!A:C,2,FALSE))</f>
        <v>United Kingdom</v>
      </c>
      <c r="Y181" t="str">
        <f>IF(V181="","",VLOOKUP(V181,WMI!A:C,3,FALSE))</f>
        <v>Aston Martin Lagonda Limited</v>
      </c>
      <c r="Z181">
        <f>IF(W181="","",VLOOKUP(W181,year!A:B,2,FALSE))</f>
        <v>2013</v>
      </c>
    </row>
    <row r="182" spans="1:26" x14ac:dyDescent="0.25">
      <c r="A182">
        <v>467</v>
      </c>
      <c r="B182" t="s">
        <v>1782</v>
      </c>
      <c r="C182" t="s">
        <v>2619</v>
      </c>
      <c r="D182" t="s">
        <v>2341</v>
      </c>
      <c r="E182" t="s">
        <v>2061</v>
      </c>
      <c r="F182" t="s">
        <v>2894</v>
      </c>
      <c r="G182" t="s">
        <v>1224</v>
      </c>
      <c r="H182" t="s">
        <v>3305</v>
      </c>
      <c r="I182" t="s">
        <v>3306</v>
      </c>
      <c r="J182" t="s">
        <v>3445</v>
      </c>
      <c r="K182" s="6" t="s">
        <v>3639</v>
      </c>
      <c r="L182" s="5" t="s">
        <v>3639</v>
      </c>
      <c r="M182" t="s">
        <v>1504</v>
      </c>
      <c r="N182" t="s">
        <v>1504</v>
      </c>
      <c r="O182" t="s">
        <v>16</v>
      </c>
      <c r="P182" t="s">
        <v>74</v>
      </c>
      <c r="Q182" t="s">
        <v>310</v>
      </c>
      <c r="R182" t="s">
        <v>357</v>
      </c>
      <c r="S182" s="4">
        <v>5610259824137470</v>
      </c>
      <c r="T182" t="s">
        <v>93</v>
      </c>
      <c r="U182" s="1">
        <v>9204.1</v>
      </c>
      <c r="V182" s="1" t="s">
        <v>621</v>
      </c>
      <c r="W182" s="1" t="s">
        <v>1035</v>
      </c>
      <c r="X182" t="str">
        <f>IF(V182="","",VLOOKUP(V182,WMI!A:C,2,FALSE))</f>
        <v>United Kingdom</v>
      </c>
      <c r="Y182" t="str">
        <f>IF(V182="","",VLOOKUP(V182,WMI!A:C,3,FALSE))</f>
        <v>Land Rover</v>
      </c>
      <c r="Z182">
        <f>IF(W182="","",VLOOKUP(W182,year!A:B,2,FALSE))</f>
        <v>2013</v>
      </c>
    </row>
    <row r="183" spans="1:26" x14ac:dyDescent="0.25">
      <c r="A183">
        <v>339</v>
      </c>
      <c r="B183" t="s">
        <v>1783</v>
      </c>
      <c r="C183" t="s">
        <v>2620</v>
      </c>
      <c r="D183" t="s">
        <v>2342</v>
      </c>
      <c r="E183" t="s">
        <v>2062</v>
      </c>
      <c r="F183" t="s">
        <v>2895</v>
      </c>
      <c r="G183" t="s">
        <v>1225</v>
      </c>
      <c r="H183" t="s">
        <v>3307</v>
      </c>
      <c r="I183" t="s">
        <v>3308</v>
      </c>
      <c r="J183" t="s">
        <v>3439</v>
      </c>
      <c r="K183" s="6" t="s">
        <v>3640</v>
      </c>
      <c r="L183" s="5" t="s">
        <v>3640</v>
      </c>
      <c r="M183" t="s">
        <v>1505</v>
      </c>
      <c r="N183" t="s">
        <v>1505</v>
      </c>
      <c r="O183" t="s">
        <v>19</v>
      </c>
      <c r="P183" t="s">
        <v>20</v>
      </c>
      <c r="Q183" t="s">
        <v>21</v>
      </c>
      <c r="R183" t="s">
        <v>292</v>
      </c>
      <c r="S183" s="4">
        <v>4508038394232040</v>
      </c>
      <c r="T183" t="s">
        <v>26</v>
      </c>
      <c r="U183" s="1">
        <v>5372.67</v>
      </c>
      <c r="V183" s="1" t="s">
        <v>709</v>
      </c>
      <c r="W183" s="1" t="s">
        <v>1035</v>
      </c>
      <c r="X183" t="str">
        <f>IF(V183="","",VLOOKUP(V183,WMI!A:C,2,FALSE))</f>
        <v>United States</v>
      </c>
      <c r="Y183" t="str">
        <f>IF(V183="","",VLOOKUP(V183,WMI!A:C,3,FALSE))</f>
        <v>Buick</v>
      </c>
      <c r="Z183">
        <f>IF(W183="","",VLOOKUP(W183,year!A:B,2,FALSE))</f>
        <v>2013</v>
      </c>
    </row>
    <row r="184" spans="1:26" x14ac:dyDescent="0.25">
      <c r="A184">
        <v>402</v>
      </c>
      <c r="B184" t="s">
        <v>1784</v>
      </c>
      <c r="C184" t="s">
        <v>2621</v>
      </c>
      <c r="D184" t="s">
        <v>2343</v>
      </c>
      <c r="E184" t="s">
        <v>2063</v>
      </c>
      <c r="F184" t="s">
        <v>2896</v>
      </c>
      <c r="G184" t="s">
        <v>1226</v>
      </c>
      <c r="H184" t="s">
        <v>3309</v>
      </c>
      <c r="I184" t="s">
        <v>3111</v>
      </c>
      <c r="J184" t="s">
        <v>3439</v>
      </c>
      <c r="K184" s="6" t="s">
        <v>3523</v>
      </c>
      <c r="L184" s="5" t="s">
        <v>3523</v>
      </c>
      <c r="M184" t="s">
        <v>1506</v>
      </c>
      <c r="N184" t="s">
        <v>1506</v>
      </c>
      <c r="O184" t="s">
        <v>16</v>
      </c>
      <c r="P184" t="s">
        <v>133</v>
      </c>
      <c r="Q184" t="s">
        <v>134</v>
      </c>
      <c r="R184" t="s">
        <v>326</v>
      </c>
      <c r="S184" s="4">
        <v>201515067809651</v>
      </c>
      <c r="T184" t="s">
        <v>28</v>
      </c>
      <c r="U184" s="1">
        <v>9669.98</v>
      </c>
      <c r="V184" s="1" t="s">
        <v>709</v>
      </c>
      <c r="W184" s="1" t="s">
        <v>1035</v>
      </c>
      <c r="X184" t="str">
        <f>IF(V184="","",VLOOKUP(V184,WMI!A:C,2,FALSE))</f>
        <v>United States</v>
      </c>
      <c r="Y184" t="str">
        <f>IF(V184="","",VLOOKUP(V184,WMI!A:C,3,FALSE))</f>
        <v>Buick</v>
      </c>
      <c r="Z184">
        <f>IF(W184="","",VLOOKUP(W184,year!A:B,2,FALSE))</f>
        <v>2013</v>
      </c>
    </row>
    <row r="185" spans="1:26" x14ac:dyDescent="0.25">
      <c r="A185">
        <v>607</v>
      </c>
      <c r="B185" t="s">
        <v>1785</v>
      </c>
      <c r="C185" t="s">
        <v>2622</v>
      </c>
      <c r="D185" t="s">
        <v>2344</v>
      </c>
      <c r="E185" t="s">
        <v>2064</v>
      </c>
      <c r="F185" t="s">
        <v>2897</v>
      </c>
      <c r="G185" t="s">
        <v>1227</v>
      </c>
      <c r="H185" t="s">
        <v>3310</v>
      </c>
      <c r="I185" t="s">
        <v>3004</v>
      </c>
      <c r="J185" t="s">
        <v>3457</v>
      </c>
      <c r="K185" s="6" t="s">
        <v>3641</v>
      </c>
      <c r="L185" s="5" t="s">
        <v>3641</v>
      </c>
      <c r="M185" t="s">
        <v>1507</v>
      </c>
      <c r="N185" t="s">
        <v>1507</v>
      </c>
      <c r="O185" t="s">
        <v>16</v>
      </c>
      <c r="P185" t="s">
        <v>39</v>
      </c>
      <c r="Q185" t="s">
        <v>263</v>
      </c>
      <c r="R185" t="s">
        <v>420</v>
      </c>
      <c r="S185" s="4">
        <v>6767473998603300</v>
      </c>
      <c r="T185" t="s">
        <v>140</v>
      </c>
      <c r="U185" s="1">
        <v>6519.9</v>
      </c>
      <c r="V185" s="1" t="s">
        <v>709</v>
      </c>
      <c r="W185" s="1" t="s">
        <v>1035</v>
      </c>
      <c r="X185" t="str">
        <f>IF(V185="","",VLOOKUP(V185,WMI!A:C,2,FALSE))</f>
        <v>United States</v>
      </c>
      <c r="Y185" t="str">
        <f>IF(V185="","",VLOOKUP(V185,WMI!A:C,3,FALSE))</f>
        <v>Buick</v>
      </c>
      <c r="Z185">
        <f>IF(W185="","",VLOOKUP(W185,year!A:B,2,FALSE))</f>
        <v>2013</v>
      </c>
    </row>
    <row r="186" spans="1:26" x14ac:dyDescent="0.25">
      <c r="A186">
        <v>708</v>
      </c>
      <c r="B186" t="s">
        <v>1786</v>
      </c>
      <c r="C186" t="s">
        <v>2623</v>
      </c>
      <c r="D186" t="s">
        <v>2345</v>
      </c>
      <c r="E186" t="s">
        <v>2065</v>
      </c>
      <c r="F186" t="s">
        <v>2898</v>
      </c>
      <c r="G186" t="s">
        <v>1228</v>
      </c>
      <c r="H186" t="s">
        <v>3311</v>
      </c>
      <c r="I186" t="s">
        <v>3173</v>
      </c>
      <c r="J186" t="s">
        <v>3463</v>
      </c>
      <c r="K186" s="6" t="s">
        <v>3559</v>
      </c>
      <c r="L186" s="5" t="s">
        <v>3559</v>
      </c>
      <c r="M186" t="s">
        <v>1508</v>
      </c>
      <c r="N186" t="s">
        <v>1508</v>
      </c>
      <c r="O186" t="s">
        <v>19</v>
      </c>
      <c r="P186" t="s">
        <v>83</v>
      </c>
      <c r="Q186" t="s">
        <v>168</v>
      </c>
      <c r="R186" t="s">
        <v>462</v>
      </c>
      <c r="S186" s="4">
        <v>3545605762385980</v>
      </c>
      <c r="T186" t="s">
        <v>18</v>
      </c>
      <c r="U186" s="1">
        <v>5340.47</v>
      </c>
      <c r="V186" s="1" t="s">
        <v>709</v>
      </c>
      <c r="W186" s="1" t="s">
        <v>1035</v>
      </c>
      <c r="X186" t="str">
        <f>IF(V186="","",VLOOKUP(V186,WMI!A:C,2,FALSE))</f>
        <v>United States</v>
      </c>
      <c r="Y186" t="str">
        <f>IF(V186="","",VLOOKUP(V186,WMI!A:C,3,FALSE))</f>
        <v>Buick</v>
      </c>
      <c r="Z186">
        <f>IF(W186="","",VLOOKUP(W186,year!A:B,2,FALSE))</f>
        <v>2013</v>
      </c>
    </row>
    <row r="187" spans="1:26" x14ac:dyDescent="0.25">
      <c r="A187">
        <v>352</v>
      </c>
      <c r="B187" t="s">
        <v>1787</v>
      </c>
      <c r="C187" t="s">
        <v>2624</v>
      </c>
      <c r="D187" t="s">
        <v>2346</v>
      </c>
      <c r="E187" t="s">
        <v>2066</v>
      </c>
      <c r="F187" t="s">
        <v>2899</v>
      </c>
      <c r="G187" t="s">
        <v>1229</v>
      </c>
      <c r="H187" t="s">
        <v>3312</v>
      </c>
      <c r="I187" t="s">
        <v>3096</v>
      </c>
      <c r="J187" t="s">
        <v>2993</v>
      </c>
      <c r="K187" s="6" t="s">
        <v>3642</v>
      </c>
      <c r="L187" s="5" t="s">
        <v>3642</v>
      </c>
      <c r="M187" t="s">
        <v>1509</v>
      </c>
      <c r="N187" t="s">
        <v>1509</v>
      </c>
      <c r="O187" t="s">
        <v>19</v>
      </c>
      <c r="P187" t="s">
        <v>55</v>
      </c>
      <c r="Q187" t="s">
        <v>241</v>
      </c>
      <c r="R187" t="s">
        <v>299</v>
      </c>
      <c r="S187" s="4">
        <v>30527055918185</v>
      </c>
      <c r="T187" t="s">
        <v>46</v>
      </c>
      <c r="U187" s="1">
        <v>8811.01</v>
      </c>
      <c r="V187" s="1" t="s">
        <v>735</v>
      </c>
      <c r="W187" s="1" t="s">
        <v>1035</v>
      </c>
      <c r="X187" t="str">
        <f>IF(V187="","",VLOOKUP(V187,WMI!A:C,2,FALSE))</f>
        <v>United States</v>
      </c>
      <c r="Y187" t="str">
        <f>IF(V187="","",VLOOKUP(V187,WMI!A:C,3,FALSE))</f>
        <v>Hyundai</v>
      </c>
      <c r="Z187">
        <f>IF(W187="","",VLOOKUP(W187,year!A:B,2,FALSE))</f>
        <v>2013</v>
      </c>
    </row>
    <row r="188" spans="1:26" x14ac:dyDescent="0.25">
      <c r="A188">
        <v>829</v>
      </c>
      <c r="B188" t="s">
        <v>1788</v>
      </c>
      <c r="C188" t="s">
        <v>2620</v>
      </c>
      <c r="D188" t="s">
        <v>2347</v>
      </c>
      <c r="E188" t="s">
        <v>2067</v>
      </c>
      <c r="F188" t="s">
        <v>2900</v>
      </c>
      <c r="G188" t="s">
        <v>1230</v>
      </c>
      <c r="H188" t="s">
        <v>3313</v>
      </c>
      <c r="I188" t="s">
        <v>3123</v>
      </c>
      <c r="J188" t="s">
        <v>3458</v>
      </c>
      <c r="K188" s="6" t="s">
        <v>3643</v>
      </c>
      <c r="L188" s="5" t="s">
        <v>3643</v>
      </c>
      <c r="M188" t="s">
        <v>1510</v>
      </c>
      <c r="N188" t="s">
        <v>1510</v>
      </c>
      <c r="O188" t="s">
        <v>19</v>
      </c>
      <c r="P188" t="s">
        <v>105</v>
      </c>
      <c r="Q188" t="s">
        <v>512</v>
      </c>
      <c r="R188" t="s">
        <v>513</v>
      </c>
      <c r="S188" s="4">
        <v>4083639157710</v>
      </c>
      <c r="T188" t="s">
        <v>119</v>
      </c>
      <c r="U188" s="1">
        <v>7705.48</v>
      </c>
      <c r="V188" s="1" t="s">
        <v>713</v>
      </c>
      <c r="W188" s="1" t="s">
        <v>1035</v>
      </c>
      <c r="X188" t="str">
        <f>IF(V188="","",VLOOKUP(V188,WMI!A:C,2,FALSE))</f>
        <v>United States</v>
      </c>
      <c r="Y188" t="str">
        <f>IF(V188="","",VLOOKUP(V188,WMI!A:C,3,FALSE))</f>
        <v>Volkswagen</v>
      </c>
      <c r="Z188">
        <f>IF(W188="","",VLOOKUP(W188,year!A:B,2,FALSE))</f>
        <v>2013</v>
      </c>
    </row>
    <row r="189" spans="1:26" x14ac:dyDescent="0.25">
      <c r="A189">
        <v>127</v>
      </c>
      <c r="B189" t="s">
        <v>1789</v>
      </c>
      <c r="C189" t="s">
        <v>2625</v>
      </c>
      <c r="D189" t="s">
        <v>2348</v>
      </c>
      <c r="E189" t="s">
        <v>2068</v>
      </c>
      <c r="F189" t="s">
        <v>2901</v>
      </c>
      <c r="G189" t="s">
        <v>1231</v>
      </c>
      <c r="H189" t="s">
        <v>3314</v>
      </c>
      <c r="I189" t="s">
        <v>3315</v>
      </c>
      <c r="J189" t="s">
        <v>3458</v>
      </c>
      <c r="K189" s="6" t="s">
        <v>3644</v>
      </c>
      <c r="L189" s="5" t="s">
        <v>3644</v>
      </c>
      <c r="M189" t="s">
        <v>1511</v>
      </c>
      <c r="N189" t="s">
        <v>1511</v>
      </c>
      <c r="O189" t="s">
        <v>16</v>
      </c>
      <c r="P189" t="s">
        <v>100</v>
      </c>
      <c r="Q189" t="s">
        <v>163</v>
      </c>
      <c r="R189" t="s">
        <v>164</v>
      </c>
      <c r="S189" s="4">
        <v>6.7716436228127104E+17</v>
      </c>
      <c r="T189" t="s">
        <v>41</v>
      </c>
      <c r="U189" s="1">
        <v>5886.48</v>
      </c>
      <c r="V189" s="1" t="s">
        <v>902</v>
      </c>
      <c r="W189" s="1" t="s">
        <v>1035</v>
      </c>
      <c r="X189" t="str">
        <f>IF(V189="","",VLOOKUP(V189,WMI!A:C,2,FALSE))</f>
        <v>United States</v>
      </c>
      <c r="Y189" t="str">
        <f>IF(V189="","",VLOOKUP(V189,WMI!A:C,3,FALSE))</f>
        <v>Honda</v>
      </c>
      <c r="Z189">
        <f>IF(W189="","",VLOOKUP(W189,year!A:B,2,FALSE))</f>
        <v>2013</v>
      </c>
    </row>
    <row r="190" spans="1:26" x14ac:dyDescent="0.25">
      <c r="A190">
        <v>379</v>
      </c>
      <c r="B190" t="s">
        <v>1790</v>
      </c>
      <c r="C190" t="s">
        <v>2626</v>
      </c>
      <c r="D190" t="s">
        <v>2349</v>
      </c>
      <c r="E190" t="s">
        <v>2069</v>
      </c>
      <c r="F190" t="s">
        <v>2902</v>
      </c>
      <c r="G190" t="s">
        <v>1232</v>
      </c>
      <c r="H190" t="s">
        <v>3316</v>
      </c>
      <c r="I190" t="s">
        <v>3317</v>
      </c>
      <c r="J190" t="s">
        <v>3458</v>
      </c>
      <c r="K190" s="6" t="s">
        <v>3645</v>
      </c>
      <c r="L190" s="5" t="s">
        <v>3645</v>
      </c>
      <c r="M190" t="s">
        <v>1512</v>
      </c>
      <c r="N190" t="s">
        <v>1512</v>
      </c>
      <c r="O190" t="s">
        <v>19</v>
      </c>
      <c r="P190" t="s">
        <v>100</v>
      </c>
      <c r="Q190" t="s">
        <v>313</v>
      </c>
      <c r="R190" t="s">
        <v>314</v>
      </c>
      <c r="S190" s="4">
        <v>3530860577635250</v>
      </c>
      <c r="T190" t="s">
        <v>18</v>
      </c>
      <c r="U190" s="1">
        <v>5956.71</v>
      </c>
      <c r="V190" s="1" t="s">
        <v>902</v>
      </c>
      <c r="W190" s="1" t="s">
        <v>1035</v>
      </c>
      <c r="X190" t="str">
        <f>IF(V190="","",VLOOKUP(V190,WMI!A:C,2,FALSE))</f>
        <v>United States</v>
      </c>
      <c r="Y190" t="str">
        <f>IF(V190="","",VLOOKUP(V190,WMI!A:C,3,FALSE))</f>
        <v>Honda</v>
      </c>
      <c r="Z190">
        <f>IF(W190="","",VLOOKUP(W190,year!A:B,2,FALSE))</f>
        <v>2013</v>
      </c>
    </row>
    <row r="191" spans="1:26" x14ac:dyDescent="0.25">
      <c r="A191">
        <v>860</v>
      </c>
      <c r="B191" t="s">
        <v>1791</v>
      </c>
      <c r="C191" t="s">
        <v>2627</v>
      </c>
      <c r="D191" t="s">
        <v>2350</v>
      </c>
      <c r="E191" t="s">
        <v>2070</v>
      </c>
      <c r="F191" t="s">
        <v>2903</v>
      </c>
      <c r="G191" t="s">
        <v>1233</v>
      </c>
      <c r="H191" t="s">
        <v>3318</v>
      </c>
      <c r="I191" t="s">
        <v>3253</v>
      </c>
      <c r="J191" t="s">
        <v>3442</v>
      </c>
      <c r="K191" s="6" t="s">
        <v>3607</v>
      </c>
      <c r="L191" s="5" t="s">
        <v>3607</v>
      </c>
      <c r="M191" t="s">
        <v>1513</v>
      </c>
      <c r="N191" t="s">
        <v>1513</v>
      </c>
      <c r="O191" t="s">
        <v>16</v>
      </c>
      <c r="P191" t="s">
        <v>53</v>
      </c>
      <c r="Q191" t="s">
        <v>521</v>
      </c>
      <c r="R191" t="s">
        <v>522</v>
      </c>
      <c r="S191" s="4">
        <v>3577588548984420</v>
      </c>
      <c r="T191" t="s">
        <v>18</v>
      </c>
      <c r="U191" s="1">
        <v>5529.1</v>
      </c>
      <c r="V191" s="1" t="s">
        <v>901</v>
      </c>
      <c r="W191" s="1" t="s">
        <v>1035</v>
      </c>
      <c r="X191" t="str">
        <f>IF(V191="","",VLOOKUP(V191,WMI!A:C,2,FALSE))</f>
        <v>United States</v>
      </c>
      <c r="Y191" t="str">
        <f>IF(V191="","",VLOOKUP(V191,WMI!A:C,3,FALSE))</f>
        <v>GMC incomplete vehicles</v>
      </c>
      <c r="Z191">
        <f>IF(W191="","",VLOOKUP(W191,year!A:B,2,FALSE))</f>
        <v>2013</v>
      </c>
    </row>
    <row r="192" spans="1:26" x14ac:dyDescent="0.25">
      <c r="A192">
        <v>153</v>
      </c>
      <c r="B192" t="s">
        <v>1792</v>
      </c>
      <c r="C192" t="s">
        <v>2628</v>
      </c>
      <c r="D192" t="s">
        <v>2351</v>
      </c>
      <c r="E192" t="s">
        <v>2071</v>
      </c>
      <c r="F192" t="s">
        <v>2904</v>
      </c>
      <c r="G192" t="s">
        <v>1234</v>
      </c>
      <c r="H192" t="s">
        <v>3319</v>
      </c>
      <c r="I192" t="s">
        <v>3133</v>
      </c>
      <c r="J192" t="s">
        <v>3461</v>
      </c>
      <c r="K192" s="6" t="s">
        <v>3646</v>
      </c>
      <c r="L192" s="5" t="s">
        <v>3646</v>
      </c>
      <c r="M192" t="s">
        <v>1514</v>
      </c>
      <c r="N192" t="s">
        <v>1514</v>
      </c>
      <c r="O192" t="s">
        <v>19</v>
      </c>
      <c r="P192" t="s">
        <v>39</v>
      </c>
      <c r="Q192" t="s">
        <v>184</v>
      </c>
      <c r="R192" t="s">
        <v>185</v>
      </c>
      <c r="S192" s="4">
        <v>3563471969360310</v>
      </c>
      <c r="T192" t="s">
        <v>18</v>
      </c>
      <c r="U192" s="1">
        <v>5105.3</v>
      </c>
      <c r="V192" s="1" t="s">
        <v>660</v>
      </c>
      <c r="W192" s="1" t="s">
        <v>1036</v>
      </c>
      <c r="X192" t="str">
        <f>IF(V192="","",VLOOKUP(V192,WMI!A:C,2,FALSE))</f>
        <v>Germany</v>
      </c>
      <c r="Y192" t="str">
        <f>IF(V192="","",VLOOKUP(V192,WMI!A:C,3,FALSE))</f>
        <v>Audi</v>
      </c>
      <c r="Z192">
        <f>IF(W192="","",VLOOKUP(W192,year!A:B,2,FALSE))</f>
        <v>2014</v>
      </c>
    </row>
    <row r="193" spans="1:26" x14ac:dyDescent="0.25">
      <c r="A193">
        <v>207</v>
      </c>
      <c r="B193" t="s">
        <v>1793</v>
      </c>
      <c r="C193" t="s">
        <v>2629</v>
      </c>
      <c r="D193" t="s">
        <v>2352</v>
      </c>
      <c r="E193" t="s">
        <v>2072</v>
      </c>
      <c r="F193" t="s">
        <v>2905</v>
      </c>
      <c r="G193" t="s">
        <v>1235</v>
      </c>
      <c r="H193" t="s">
        <v>3320</v>
      </c>
      <c r="I193" t="s">
        <v>3135</v>
      </c>
      <c r="J193" t="s">
        <v>3441</v>
      </c>
      <c r="K193" s="6" t="s">
        <v>3647</v>
      </c>
      <c r="L193" s="5" t="s">
        <v>3647</v>
      </c>
      <c r="M193" t="s">
        <v>1515</v>
      </c>
      <c r="N193" t="s">
        <v>1515</v>
      </c>
      <c r="O193" t="s">
        <v>16</v>
      </c>
      <c r="P193" t="s">
        <v>55</v>
      </c>
      <c r="Q193" t="s">
        <v>217</v>
      </c>
      <c r="R193" t="s">
        <v>218</v>
      </c>
      <c r="S193" s="4">
        <v>5.6022493783198099E+17</v>
      </c>
      <c r="T193" t="s">
        <v>34</v>
      </c>
      <c r="U193" s="1">
        <v>6713.87</v>
      </c>
      <c r="V193" s="1" t="s">
        <v>660</v>
      </c>
      <c r="W193" s="1" t="s">
        <v>1036</v>
      </c>
      <c r="X193" t="str">
        <f>IF(V193="","",VLOOKUP(V193,WMI!A:C,2,FALSE))</f>
        <v>Germany</v>
      </c>
      <c r="Y193" t="str">
        <f>IF(V193="","",VLOOKUP(V193,WMI!A:C,3,FALSE))</f>
        <v>Audi</v>
      </c>
      <c r="Z193">
        <f>IF(W193="","",VLOOKUP(W193,year!A:B,2,FALSE))</f>
        <v>2014</v>
      </c>
    </row>
    <row r="194" spans="1:26" x14ac:dyDescent="0.25">
      <c r="A194">
        <v>480</v>
      </c>
      <c r="B194" t="s">
        <v>1794</v>
      </c>
      <c r="C194" t="s">
        <v>2630</v>
      </c>
      <c r="D194" t="s">
        <v>2353</v>
      </c>
      <c r="E194" t="s">
        <v>2073</v>
      </c>
      <c r="F194" t="s">
        <v>2906</v>
      </c>
      <c r="G194" t="s">
        <v>1236</v>
      </c>
      <c r="H194" t="s">
        <v>3321</v>
      </c>
      <c r="I194" t="s">
        <v>3117</v>
      </c>
      <c r="J194" t="s">
        <v>3446</v>
      </c>
      <c r="K194" s="6" t="s">
        <v>3648</v>
      </c>
      <c r="L194" s="5" t="s">
        <v>3648</v>
      </c>
      <c r="M194" t="s">
        <v>1516</v>
      </c>
      <c r="N194" t="s">
        <v>1516</v>
      </c>
      <c r="O194" t="s">
        <v>16</v>
      </c>
      <c r="P194" t="s">
        <v>107</v>
      </c>
      <c r="Q194" t="s">
        <v>361</v>
      </c>
      <c r="R194" t="s">
        <v>362</v>
      </c>
      <c r="S194" s="4">
        <v>4017954166161</v>
      </c>
      <c r="T194" t="s">
        <v>119</v>
      </c>
      <c r="U194" s="1">
        <v>5901.95</v>
      </c>
      <c r="V194" s="1" t="s">
        <v>660</v>
      </c>
      <c r="W194" s="1" t="s">
        <v>1036</v>
      </c>
      <c r="X194" t="str">
        <f>IF(V194="","",VLOOKUP(V194,WMI!A:C,2,FALSE))</f>
        <v>Germany</v>
      </c>
      <c r="Y194" t="str">
        <f>IF(V194="","",VLOOKUP(V194,WMI!A:C,3,FALSE))</f>
        <v>Audi</v>
      </c>
      <c r="Z194">
        <f>IF(W194="","",VLOOKUP(W194,year!A:B,2,FALSE))</f>
        <v>2014</v>
      </c>
    </row>
    <row r="195" spans="1:26" x14ac:dyDescent="0.25">
      <c r="A195">
        <v>571</v>
      </c>
      <c r="B195" t="s">
        <v>1795</v>
      </c>
      <c r="C195" t="s">
        <v>2631</v>
      </c>
      <c r="D195" t="s">
        <v>2354</v>
      </c>
      <c r="E195" t="s">
        <v>2074</v>
      </c>
      <c r="F195" t="s">
        <v>2907</v>
      </c>
      <c r="G195" t="s">
        <v>1237</v>
      </c>
      <c r="H195" t="s">
        <v>3322</v>
      </c>
      <c r="I195" t="s">
        <v>3323</v>
      </c>
      <c r="J195" t="s">
        <v>3002</v>
      </c>
      <c r="K195" s="6" t="s">
        <v>3649</v>
      </c>
      <c r="L195" s="5" t="s">
        <v>3649</v>
      </c>
      <c r="M195" t="s">
        <v>1517</v>
      </c>
      <c r="N195" t="s">
        <v>1517</v>
      </c>
      <c r="O195" t="s">
        <v>16</v>
      </c>
      <c r="P195" t="s">
        <v>17</v>
      </c>
      <c r="Q195" t="s">
        <v>91</v>
      </c>
      <c r="R195" t="s">
        <v>399</v>
      </c>
      <c r="S195" s="4">
        <v>6761510267548610</v>
      </c>
      <c r="T195" t="s">
        <v>82</v>
      </c>
      <c r="U195" s="1">
        <v>9080.07</v>
      </c>
      <c r="V195" s="1" t="s">
        <v>660</v>
      </c>
      <c r="W195" s="1" t="s">
        <v>1036</v>
      </c>
      <c r="X195" t="str">
        <f>IF(V195="","",VLOOKUP(V195,WMI!A:C,2,FALSE))</f>
        <v>Germany</v>
      </c>
      <c r="Y195" t="str">
        <f>IF(V195="","",VLOOKUP(V195,WMI!A:C,3,FALSE))</f>
        <v>Audi</v>
      </c>
      <c r="Z195">
        <f>IF(W195="","",VLOOKUP(W195,year!A:B,2,FALSE))</f>
        <v>2014</v>
      </c>
    </row>
    <row r="196" spans="1:26" x14ac:dyDescent="0.25">
      <c r="A196">
        <v>630</v>
      </c>
      <c r="B196" t="s">
        <v>1796</v>
      </c>
      <c r="C196" t="s">
        <v>2632</v>
      </c>
      <c r="D196" t="s">
        <v>2355</v>
      </c>
      <c r="E196" t="s">
        <v>2075</v>
      </c>
      <c r="F196" t="s">
        <v>2908</v>
      </c>
      <c r="G196" t="s">
        <v>1238</v>
      </c>
      <c r="H196" t="s">
        <v>3324</v>
      </c>
      <c r="I196" t="s">
        <v>3325</v>
      </c>
      <c r="J196" t="s">
        <v>3441</v>
      </c>
      <c r="K196" s="6" t="s">
        <v>3650</v>
      </c>
      <c r="L196" s="5" t="s">
        <v>3650</v>
      </c>
      <c r="M196" t="s">
        <v>1518</v>
      </c>
      <c r="N196" t="s">
        <v>1518</v>
      </c>
      <c r="O196" t="s">
        <v>19</v>
      </c>
      <c r="P196" t="s">
        <v>165</v>
      </c>
      <c r="Q196" t="s">
        <v>427</v>
      </c>
      <c r="R196" t="s">
        <v>428</v>
      </c>
      <c r="S196" s="4">
        <v>4138663831259910</v>
      </c>
      <c r="T196" t="s">
        <v>119</v>
      </c>
      <c r="U196" s="1">
        <v>6045.27</v>
      </c>
      <c r="V196" s="1" t="s">
        <v>660</v>
      </c>
      <c r="W196" s="1" t="s">
        <v>1036</v>
      </c>
      <c r="X196" t="str">
        <f>IF(V196="","",VLOOKUP(V196,WMI!A:C,2,FALSE))</f>
        <v>Germany</v>
      </c>
      <c r="Y196" t="str">
        <f>IF(V196="","",VLOOKUP(V196,WMI!A:C,3,FALSE))</f>
        <v>Audi</v>
      </c>
      <c r="Z196">
        <f>IF(W196="","",VLOOKUP(W196,year!A:B,2,FALSE))</f>
        <v>2014</v>
      </c>
    </row>
    <row r="197" spans="1:26" x14ac:dyDescent="0.25">
      <c r="A197">
        <v>667</v>
      </c>
      <c r="B197" t="s">
        <v>1797</v>
      </c>
      <c r="C197" t="s">
        <v>2633</v>
      </c>
      <c r="D197" t="s">
        <v>2356</v>
      </c>
      <c r="E197" t="s">
        <v>2076</v>
      </c>
      <c r="F197" t="s">
        <v>2909</v>
      </c>
      <c r="G197" t="s">
        <v>1239</v>
      </c>
      <c r="H197" t="s">
        <v>3326</v>
      </c>
      <c r="I197" t="s">
        <v>3327</v>
      </c>
      <c r="J197" t="s">
        <v>3445</v>
      </c>
      <c r="K197" s="6" t="s">
        <v>3651</v>
      </c>
      <c r="L197" s="5" t="s">
        <v>3651</v>
      </c>
      <c r="M197" t="s">
        <v>1519</v>
      </c>
      <c r="N197" t="s">
        <v>1519</v>
      </c>
      <c r="O197" t="s">
        <v>19</v>
      </c>
      <c r="P197" t="s">
        <v>137</v>
      </c>
      <c r="Q197" t="s">
        <v>194</v>
      </c>
      <c r="R197" t="s">
        <v>445</v>
      </c>
      <c r="S197" s="4">
        <v>5010128064536880</v>
      </c>
      <c r="T197" t="s">
        <v>23</v>
      </c>
      <c r="U197" s="1">
        <v>5513.77</v>
      </c>
      <c r="V197" s="1" t="s">
        <v>660</v>
      </c>
      <c r="W197" s="1" t="s">
        <v>1036</v>
      </c>
      <c r="X197" t="str">
        <f>IF(V197="","",VLOOKUP(V197,WMI!A:C,2,FALSE))</f>
        <v>Germany</v>
      </c>
      <c r="Y197" t="str">
        <f>IF(V197="","",VLOOKUP(V197,WMI!A:C,3,FALSE))</f>
        <v>Audi</v>
      </c>
      <c r="Z197">
        <f>IF(W197="","",VLOOKUP(W197,year!A:B,2,FALSE))</f>
        <v>2014</v>
      </c>
    </row>
    <row r="198" spans="1:26" x14ac:dyDescent="0.25">
      <c r="A198">
        <v>766</v>
      </c>
      <c r="B198" t="s">
        <v>1798</v>
      </c>
      <c r="C198" t="s">
        <v>2634</v>
      </c>
      <c r="D198" t="s">
        <v>2357</v>
      </c>
      <c r="E198" t="s">
        <v>2077</v>
      </c>
      <c r="F198" t="s">
        <v>2910</v>
      </c>
      <c r="G198" t="s">
        <v>1240</v>
      </c>
      <c r="H198" t="s">
        <v>3328</v>
      </c>
      <c r="I198" t="s">
        <v>3308</v>
      </c>
      <c r="J198" t="s">
        <v>3439</v>
      </c>
      <c r="K198" s="6" t="s">
        <v>3652</v>
      </c>
      <c r="L198" s="5" t="s">
        <v>3652</v>
      </c>
      <c r="M198" t="s">
        <v>1520</v>
      </c>
      <c r="N198" t="s">
        <v>1520</v>
      </c>
      <c r="O198" t="s">
        <v>16</v>
      </c>
      <c r="P198" t="s">
        <v>43</v>
      </c>
      <c r="Q198" t="s">
        <v>484</v>
      </c>
      <c r="R198" t="s">
        <v>485</v>
      </c>
      <c r="S198" s="4">
        <v>3562719522341580</v>
      </c>
      <c r="T198" t="s">
        <v>18</v>
      </c>
      <c r="U198" s="1">
        <v>9020.52</v>
      </c>
      <c r="V198" s="1" t="s">
        <v>660</v>
      </c>
      <c r="W198" s="1" t="s">
        <v>1036</v>
      </c>
      <c r="X198" t="str">
        <f>IF(V198="","",VLOOKUP(V198,WMI!A:C,2,FALSE))</f>
        <v>Germany</v>
      </c>
      <c r="Y198" t="str">
        <f>IF(V198="","",VLOOKUP(V198,WMI!A:C,3,FALSE))</f>
        <v>Audi</v>
      </c>
      <c r="Z198">
        <f>IF(W198="","",VLOOKUP(W198,year!A:B,2,FALSE))</f>
        <v>2014</v>
      </c>
    </row>
    <row r="199" spans="1:26" x14ac:dyDescent="0.25">
      <c r="A199">
        <v>960</v>
      </c>
      <c r="B199" t="s">
        <v>1799</v>
      </c>
      <c r="C199" t="s">
        <v>2635</v>
      </c>
      <c r="D199" t="s">
        <v>2358</v>
      </c>
      <c r="E199" t="s">
        <v>2078</v>
      </c>
      <c r="F199" t="s">
        <v>2911</v>
      </c>
      <c r="G199" t="s">
        <v>1241</v>
      </c>
      <c r="H199" t="s">
        <v>3329</v>
      </c>
      <c r="I199" t="s">
        <v>3330</v>
      </c>
      <c r="J199" t="s">
        <v>3445</v>
      </c>
      <c r="K199" s="6" t="s">
        <v>3653</v>
      </c>
      <c r="L199" s="5" t="s">
        <v>3653</v>
      </c>
      <c r="M199" t="s">
        <v>1521</v>
      </c>
      <c r="N199" t="s">
        <v>1521</v>
      </c>
      <c r="O199" t="s">
        <v>19</v>
      </c>
      <c r="P199" t="s">
        <v>17</v>
      </c>
      <c r="Q199" t="s">
        <v>244</v>
      </c>
      <c r="R199" t="s">
        <v>565</v>
      </c>
      <c r="S199" s="4">
        <v>6.7093047962492201E+18</v>
      </c>
      <c r="T199" t="s">
        <v>41</v>
      </c>
      <c r="U199" s="1">
        <v>9919.02</v>
      </c>
      <c r="V199" s="1" t="s">
        <v>679</v>
      </c>
      <c r="W199" s="1" t="s">
        <v>1036</v>
      </c>
      <c r="X199" t="str">
        <f>IF(V199="","",VLOOKUP(V199,WMI!A:C,2,FALSE))</f>
        <v>Germany</v>
      </c>
      <c r="Y199" t="str">
        <f>IF(V199="","",VLOOKUP(V199,WMI!A:C,3,FALSE))</f>
        <v>Quattro</v>
      </c>
      <c r="Z199">
        <f>IF(W199="","",VLOOKUP(W199,year!A:B,2,FALSE))</f>
        <v>2014</v>
      </c>
    </row>
    <row r="200" spans="1:26" x14ac:dyDescent="0.25">
      <c r="A200">
        <v>86</v>
      </c>
      <c r="B200" t="s">
        <v>1800</v>
      </c>
      <c r="C200" t="s">
        <v>2636</v>
      </c>
      <c r="D200" t="s">
        <v>2359</v>
      </c>
      <c r="E200" t="s">
        <v>2079</v>
      </c>
      <c r="F200" t="s">
        <v>2912</v>
      </c>
      <c r="G200" t="s">
        <v>1242</v>
      </c>
      <c r="H200" t="s">
        <v>3331</v>
      </c>
      <c r="I200" t="s">
        <v>3000</v>
      </c>
      <c r="J200" t="s">
        <v>3002</v>
      </c>
      <c r="K200" s="6" t="s">
        <v>3654</v>
      </c>
      <c r="L200" s="5" t="s">
        <v>3654</v>
      </c>
      <c r="M200" t="s">
        <v>1522</v>
      </c>
      <c r="N200" t="s">
        <v>1522</v>
      </c>
      <c r="O200" t="s">
        <v>19</v>
      </c>
      <c r="P200" t="s">
        <v>51</v>
      </c>
      <c r="Q200" t="s">
        <v>115</v>
      </c>
      <c r="R200" t="s">
        <v>123</v>
      </c>
      <c r="S200" s="4">
        <v>3568692270845470</v>
      </c>
      <c r="T200" t="s">
        <v>18</v>
      </c>
      <c r="U200" s="1">
        <v>6113.89</v>
      </c>
      <c r="V200" s="1" t="s">
        <v>661</v>
      </c>
      <c r="W200" s="1" t="s">
        <v>1036</v>
      </c>
      <c r="X200" t="str">
        <f>IF(V200="","",VLOOKUP(V200,WMI!A:C,2,FALSE))</f>
        <v>Germany</v>
      </c>
      <c r="Y200" t="str">
        <f>IF(V200="","",VLOOKUP(V200,WMI!A:C,3,FALSE))</f>
        <v>BMW</v>
      </c>
      <c r="Z200">
        <f>IF(W200="","",VLOOKUP(W200,year!A:B,2,FALSE))</f>
        <v>2014</v>
      </c>
    </row>
    <row r="201" spans="1:26" x14ac:dyDescent="0.25">
      <c r="A201">
        <v>189</v>
      </c>
      <c r="B201" t="s">
        <v>1801</v>
      </c>
      <c r="C201" t="s">
        <v>2637</v>
      </c>
      <c r="D201" t="s">
        <v>2360</v>
      </c>
      <c r="E201" t="s">
        <v>2080</v>
      </c>
      <c r="F201" t="s">
        <v>2913</v>
      </c>
      <c r="G201" t="s">
        <v>1243</v>
      </c>
      <c r="H201" t="s">
        <v>3332</v>
      </c>
      <c r="I201" t="s">
        <v>3330</v>
      </c>
      <c r="J201" t="s">
        <v>3445</v>
      </c>
      <c r="K201" s="6" t="s">
        <v>3655</v>
      </c>
      <c r="L201" s="5" t="s">
        <v>3655</v>
      </c>
      <c r="M201" t="s">
        <v>1523</v>
      </c>
      <c r="N201" t="s">
        <v>1523</v>
      </c>
      <c r="O201" t="s">
        <v>16</v>
      </c>
      <c r="P201" t="s">
        <v>202</v>
      </c>
      <c r="Q201" t="s">
        <v>203</v>
      </c>
      <c r="R201" t="s">
        <v>204</v>
      </c>
      <c r="S201" s="4">
        <v>6.70642996306342E+16</v>
      </c>
      <c r="T201" t="s">
        <v>41</v>
      </c>
      <c r="U201" s="1">
        <v>6633.42</v>
      </c>
      <c r="V201" s="1" t="s">
        <v>661</v>
      </c>
      <c r="W201" s="1" t="s">
        <v>1036</v>
      </c>
      <c r="X201" t="str">
        <f>IF(V201="","",VLOOKUP(V201,WMI!A:C,2,FALSE))</f>
        <v>Germany</v>
      </c>
      <c r="Y201" t="str">
        <f>IF(V201="","",VLOOKUP(V201,WMI!A:C,3,FALSE))</f>
        <v>BMW</v>
      </c>
      <c r="Z201">
        <f>IF(W201="","",VLOOKUP(W201,year!A:B,2,FALSE))</f>
        <v>2014</v>
      </c>
    </row>
    <row r="202" spans="1:26" x14ac:dyDescent="0.25">
      <c r="A202">
        <v>411</v>
      </c>
      <c r="B202" t="s">
        <v>1802</v>
      </c>
      <c r="C202" t="s">
        <v>2595</v>
      </c>
      <c r="D202" t="s">
        <v>2361</v>
      </c>
      <c r="E202" t="s">
        <v>2081</v>
      </c>
      <c r="F202" t="s">
        <v>2914</v>
      </c>
      <c r="G202" t="s">
        <v>1244</v>
      </c>
      <c r="H202" t="s">
        <v>3333</v>
      </c>
      <c r="I202" t="s">
        <v>3212</v>
      </c>
      <c r="J202" t="s">
        <v>3444</v>
      </c>
      <c r="K202" s="6" t="s">
        <v>3656</v>
      </c>
      <c r="L202" s="5" t="s">
        <v>3656</v>
      </c>
      <c r="M202" t="s">
        <v>1524</v>
      </c>
      <c r="N202" t="s">
        <v>1524</v>
      </c>
      <c r="O202" t="s">
        <v>16</v>
      </c>
      <c r="P202" t="s">
        <v>55</v>
      </c>
      <c r="Q202" t="s">
        <v>56</v>
      </c>
      <c r="R202" t="s">
        <v>335</v>
      </c>
      <c r="S202" s="4">
        <v>3570840379190110</v>
      </c>
      <c r="T202" t="s">
        <v>18</v>
      </c>
      <c r="U202" s="1">
        <v>5754.35</v>
      </c>
      <c r="V202" s="1" t="s">
        <v>661</v>
      </c>
      <c r="W202" s="1" t="s">
        <v>1036</v>
      </c>
      <c r="X202" t="str">
        <f>IF(V202="","",VLOOKUP(V202,WMI!A:C,2,FALSE))</f>
        <v>Germany</v>
      </c>
      <c r="Y202" t="str">
        <f>IF(V202="","",VLOOKUP(V202,WMI!A:C,3,FALSE))</f>
        <v>BMW</v>
      </c>
      <c r="Z202">
        <f>IF(W202="","",VLOOKUP(W202,year!A:B,2,FALSE))</f>
        <v>2014</v>
      </c>
    </row>
    <row r="203" spans="1:26" x14ac:dyDescent="0.25">
      <c r="A203">
        <v>449</v>
      </c>
      <c r="B203" t="s">
        <v>1803</v>
      </c>
      <c r="C203" t="s">
        <v>2638</v>
      </c>
      <c r="D203" t="s">
        <v>2362</v>
      </c>
      <c r="E203" t="s">
        <v>2082</v>
      </c>
      <c r="F203" t="s">
        <v>2915</v>
      </c>
      <c r="G203" t="s">
        <v>1245</v>
      </c>
      <c r="H203" t="s">
        <v>3334</v>
      </c>
      <c r="I203" t="s">
        <v>3160</v>
      </c>
      <c r="J203" t="s">
        <v>2993</v>
      </c>
      <c r="K203" s="6" t="s">
        <v>3552</v>
      </c>
      <c r="L203" s="5" t="s">
        <v>3552</v>
      </c>
      <c r="M203" t="s">
        <v>1525</v>
      </c>
      <c r="N203" t="s">
        <v>1525</v>
      </c>
      <c r="O203" t="s">
        <v>16</v>
      </c>
      <c r="P203" t="s">
        <v>105</v>
      </c>
      <c r="Q203" t="s">
        <v>276</v>
      </c>
      <c r="R203" t="s">
        <v>352</v>
      </c>
      <c r="S203" s="4">
        <v>604021950852893</v>
      </c>
      <c r="T203" t="s">
        <v>82</v>
      </c>
      <c r="U203" s="1">
        <v>7283.16</v>
      </c>
      <c r="V203" s="1" t="s">
        <v>661</v>
      </c>
      <c r="W203" s="1" t="s">
        <v>1036</v>
      </c>
      <c r="X203" t="str">
        <f>IF(V203="","",VLOOKUP(V203,WMI!A:C,2,FALSE))</f>
        <v>Germany</v>
      </c>
      <c r="Y203" t="str">
        <f>IF(V203="","",VLOOKUP(V203,WMI!A:C,3,FALSE))</f>
        <v>BMW</v>
      </c>
      <c r="Z203">
        <f>IF(W203="","",VLOOKUP(W203,year!A:B,2,FALSE))</f>
        <v>2014</v>
      </c>
    </row>
    <row r="204" spans="1:26" x14ac:dyDescent="0.25">
      <c r="A204">
        <v>514</v>
      </c>
      <c r="B204" t="s">
        <v>1804</v>
      </c>
      <c r="C204" t="s">
        <v>2639</v>
      </c>
      <c r="D204" t="s">
        <v>2363</v>
      </c>
      <c r="E204" t="s">
        <v>2083</v>
      </c>
      <c r="F204" t="s">
        <v>2916</v>
      </c>
      <c r="G204" t="s">
        <v>1246</v>
      </c>
      <c r="H204" t="s">
        <v>3335</v>
      </c>
      <c r="I204" t="s">
        <v>3336</v>
      </c>
      <c r="J204" t="s">
        <v>3004</v>
      </c>
      <c r="K204" s="6" t="s">
        <v>3657</v>
      </c>
      <c r="L204" s="5" t="s">
        <v>3657</v>
      </c>
      <c r="M204" t="s">
        <v>1526</v>
      </c>
      <c r="N204" t="s">
        <v>1526</v>
      </c>
      <c r="O204" t="s">
        <v>16</v>
      </c>
      <c r="P204" t="s">
        <v>36</v>
      </c>
      <c r="Q204" t="s">
        <v>376</v>
      </c>
      <c r="R204" t="s">
        <v>377</v>
      </c>
      <c r="S204" s="4">
        <v>3556450503158870</v>
      </c>
      <c r="T204" t="s">
        <v>18</v>
      </c>
      <c r="U204" s="1">
        <v>7394.31</v>
      </c>
      <c r="V204" s="1" t="s">
        <v>661</v>
      </c>
      <c r="W204" s="1" t="s">
        <v>1036</v>
      </c>
      <c r="X204" t="str">
        <f>IF(V204="","",VLOOKUP(V204,WMI!A:C,2,FALSE))</f>
        <v>Germany</v>
      </c>
      <c r="Y204" t="str">
        <f>IF(V204="","",VLOOKUP(V204,WMI!A:C,3,FALSE))</f>
        <v>BMW</v>
      </c>
      <c r="Z204">
        <f>IF(W204="","",VLOOKUP(W204,year!A:B,2,FALSE))</f>
        <v>2014</v>
      </c>
    </row>
    <row r="205" spans="1:26" x14ac:dyDescent="0.25">
      <c r="A205">
        <v>764</v>
      </c>
      <c r="B205" t="s">
        <v>1805</v>
      </c>
      <c r="C205" t="s">
        <v>2640</v>
      </c>
      <c r="D205" t="s">
        <v>2364</v>
      </c>
      <c r="E205" t="s">
        <v>2084</v>
      </c>
      <c r="F205" t="s">
        <v>2917</v>
      </c>
      <c r="G205" t="s">
        <v>1247</v>
      </c>
      <c r="H205" t="s">
        <v>3337</v>
      </c>
      <c r="I205" t="s">
        <v>3338</v>
      </c>
      <c r="J205" t="s">
        <v>3443</v>
      </c>
      <c r="K205" s="6" t="s">
        <v>3658</v>
      </c>
      <c r="L205" s="5" t="s">
        <v>3658</v>
      </c>
      <c r="M205" t="s">
        <v>1527</v>
      </c>
      <c r="N205" t="s">
        <v>1527</v>
      </c>
      <c r="O205" t="s">
        <v>16</v>
      </c>
      <c r="P205" t="s">
        <v>17</v>
      </c>
      <c r="Q205" t="s">
        <v>35</v>
      </c>
      <c r="R205" t="s">
        <v>483</v>
      </c>
      <c r="S205" s="4">
        <v>4.9058427334726902E+18</v>
      </c>
      <c r="T205" t="s">
        <v>29</v>
      </c>
      <c r="U205" s="1">
        <v>8930.7199999999993</v>
      </c>
      <c r="V205" s="1" t="s">
        <v>661</v>
      </c>
      <c r="W205" s="1" t="s">
        <v>1036</v>
      </c>
      <c r="X205" t="str">
        <f>IF(V205="","",VLOOKUP(V205,WMI!A:C,2,FALSE))</f>
        <v>Germany</v>
      </c>
      <c r="Y205" t="str">
        <f>IF(V205="","",VLOOKUP(V205,WMI!A:C,3,FALSE))</f>
        <v>BMW</v>
      </c>
      <c r="Z205">
        <f>IF(W205="","",VLOOKUP(W205,year!A:B,2,FALSE))</f>
        <v>2014</v>
      </c>
    </row>
    <row r="206" spans="1:26" x14ac:dyDescent="0.25">
      <c r="A206">
        <v>831</v>
      </c>
      <c r="B206" t="s">
        <v>1806</v>
      </c>
      <c r="C206" t="s">
        <v>2641</v>
      </c>
      <c r="D206" t="s">
        <v>2365</v>
      </c>
      <c r="E206" t="s">
        <v>2085</v>
      </c>
      <c r="F206" t="s">
        <v>2918</v>
      </c>
      <c r="G206" t="s">
        <v>1248</v>
      </c>
      <c r="H206" t="s">
        <v>3339</v>
      </c>
      <c r="I206" t="s">
        <v>3072</v>
      </c>
      <c r="J206" t="s">
        <v>3453</v>
      </c>
      <c r="K206" s="6" t="s">
        <v>3659</v>
      </c>
      <c r="L206" s="5" t="s">
        <v>3659</v>
      </c>
      <c r="M206" t="s">
        <v>1528</v>
      </c>
      <c r="N206" t="s">
        <v>1528</v>
      </c>
      <c r="O206" t="s">
        <v>16</v>
      </c>
      <c r="P206" t="s">
        <v>20</v>
      </c>
      <c r="Q206" t="s">
        <v>21</v>
      </c>
      <c r="R206" t="s">
        <v>516</v>
      </c>
      <c r="S206" s="4">
        <v>5108755386082020</v>
      </c>
      <c r="T206" t="s">
        <v>23</v>
      </c>
      <c r="U206" s="1">
        <v>7411.44</v>
      </c>
      <c r="V206" s="1" t="s">
        <v>661</v>
      </c>
      <c r="W206" s="1" t="s">
        <v>1036</v>
      </c>
      <c r="X206" t="str">
        <f>IF(V206="","",VLOOKUP(V206,WMI!A:C,2,FALSE))</f>
        <v>Germany</v>
      </c>
      <c r="Y206" t="str">
        <f>IF(V206="","",VLOOKUP(V206,WMI!A:C,3,FALSE))</f>
        <v>BMW</v>
      </c>
      <c r="Z206">
        <f>IF(W206="","",VLOOKUP(W206,year!A:B,2,FALSE))</f>
        <v>2014</v>
      </c>
    </row>
    <row r="207" spans="1:26" x14ac:dyDescent="0.25">
      <c r="A207">
        <v>896</v>
      </c>
      <c r="B207" t="s">
        <v>1807</v>
      </c>
      <c r="C207" t="s">
        <v>2642</v>
      </c>
      <c r="D207" t="s">
        <v>2366</v>
      </c>
      <c r="E207" t="s">
        <v>2086</v>
      </c>
      <c r="F207" t="s">
        <v>2919</v>
      </c>
      <c r="G207" t="s">
        <v>1249</v>
      </c>
      <c r="H207" t="s">
        <v>3340</v>
      </c>
      <c r="I207" t="s">
        <v>3004</v>
      </c>
      <c r="J207" t="s">
        <v>3457</v>
      </c>
      <c r="K207" s="6" t="s">
        <v>3660</v>
      </c>
      <c r="L207" s="5" t="s">
        <v>3660</v>
      </c>
      <c r="M207" t="s">
        <v>1529</v>
      </c>
      <c r="N207" t="s">
        <v>1529</v>
      </c>
      <c r="O207" t="s">
        <v>16</v>
      </c>
      <c r="P207" t="s">
        <v>39</v>
      </c>
      <c r="Q207" t="s">
        <v>360</v>
      </c>
      <c r="R207" t="s">
        <v>541</v>
      </c>
      <c r="S207" s="4">
        <v>3543499298699600</v>
      </c>
      <c r="T207" t="s">
        <v>18</v>
      </c>
      <c r="U207" s="1">
        <v>6868.7</v>
      </c>
      <c r="V207" s="1" t="s">
        <v>661</v>
      </c>
      <c r="W207" s="1" t="s">
        <v>1036</v>
      </c>
      <c r="X207" t="str">
        <f>IF(V207="","",VLOOKUP(V207,WMI!A:C,2,FALSE))</f>
        <v>Germany</v>
      </c>
      <c r="Y207" t="str">
        <f>IF(V207="","",VLOOKUP(V207,WMI!A:C,3,FALSE))</f>
        <v>BMW</v>
      </c>
      <c r="Z207">
        <f>IF(W207="","",VLOOKUP(W207,year!A:B,2,FALSE))</f>
        <v>2014</v>
      </c>
    </row>
    <row r="208" spans="1:26" x14ac:dyDescent="0.25">
      <c r="A208">
        <v>936</v>
      </c>
      <c r="B208" t="s">
        <v>1808</v>
      </c>
      <c r="C208" t="s">
        <v>2643</v>
      </c>
      <c r="D208" t="s">
        <v>2367</v>
      </c>
      <c r="E208" t="s">
        <v>2087</v>
      </c>
      <c r="F208" t="s">
        <v>2920</v>
      </c>
      <c r="G208" t="s">
        <v>1250</v>
      </c>
      <c r="H208" t="s">
        <v>3341</v>
      </c>
      <c r="I208" t="s">
        <v>3342</v>
      </c>
      <c r="J208" t="s">
        <v>3446</v>
      </c>
      <c r="K208" s="6" t="s">
        <v>3661</v>
      </c>
      <c r="L208" s="5" t="s">
        <v>3661</v>
      </c>
      <c r="M208" t="s">
        <v>1530</v>
      </c>
      <c r="N208" t="s">
        <v>1530</v>
      </c>
      <c r="O208" t="s">
        <v>19</v>
      </c>
      <c r="P208" t="s">
        <v>42</v>
      </c>
      <c r="Q208" t="s">
        <v>558</v>
      </c>
      <c r="R208" t="s">
        <v>559</v>
      </c>
      <c r="S208" s="4">
        <v>3571251641282030</v>
      </c>
      <c r="T208" t="s">
        <v>18</v>
      </c>
      <c r="U208" s="1">
        <v>6484.64</v>
      </c>
      <c r="V208" s="1" t="s">
        <v>661</v>
      </c>
      <c r="W208" s="1" t="s">
        <v>1036</v>
      </c>
      <c r="X208" t="str">
        <f>IF(V208="","",VLOOKUP(V208,WMI!A:C,2,FALSE))</f>
        <v>Germany</v>
      </c>
      <c r="Y208" t="str">
        <f>IF(V208="","",VLOOKUP(V208,WMI!A:C,3,FALSE))</f>
        <v>BMW</v>
      </c>
      <c r="Z208">
        <f>IF(W208="","",VLOOKUP(W208,year!A:B,2,FALSE))</f>
        <v>2014</v>
      </c>
    </row>
    <row r="209" spans="1:26" x14ac:dyDescent="0.25">
      <c r="A209">
        <v>561</v>
      </c>
      <c r="B209" t="s">
        <v>1809</v>
      </c>
      <c r="C209" t="s">
        <v>2644</v>
      </c>
      <c r="D209" t="s">
        <v>2368</v>
      </c>
      <c r="E209" t="s">
        <v>2088</v>
      </c>
      <c r="F209" t="s">
        <v>2921</v>
      </c>
      <c r="G209" t="s">
        <v>1251</v>
      </c>
      <c r="H209" t="s">
        <v>3343</v>
      </c>
      <c r="I209" t="s">
        <v>3004</v>
      </c>
      <c r="J209" t="s">
        <v>3457</v>
      </c>
      <c r="K209" s="6" t="s">
        <v>3662</v>
      </c>
      <c r="L209" s="5" t="s">
        <v>3662</v>
      </c>
      <c r="M209" t="s">
        <v>1531</v>
      </c>
      <c r="N209" t="s">
        <v>1531</v>
      </c>
      <c r="O209" t="s">
        <v>16</v>
      </c>
      <c r="P209" t="s">
        <v>59</v>
      </c>
      <c r="Q209" t="s">
        <v>201</v>
      </c>
      <c r="R209" t="s">
        <v>396</v>
      </c>
      <c r="S209" s="4">
        <v>5.6022524852857296E+16</v>
      </c>
      <c r="T209" t="s">
        <v>34</v>
      </c>
      <c r="U209" s="1">
        <v>7762.4</v>
      </c>
      <c r="V209" s="1" t="s">
        <v>666</v>
      </c>
      <c r="W209" s="1" t="s">
        <v>1036</v>
      </c>
      <c r="X209" t="str">
        <f>IF(V209="","",VLOOKUP(V209,WMI!A:C,2,FALSE))</f>
        <v>Germany</v>
      </c>
      <c r="Y209" t="str">
        <f>IF(V209="","",VLOOKUP(V209,WMI!A:C,3,FALSE))</f>
        <v>DaimlerChrysler AG/Daimler AG</v>
      </c>
      <c r="Z209">
        <f>IF(W209="","",VLOOKUP(W209,year!A:B,2,FALSE))</f>
        <v>2014</v>
      </c>
    </row>
    <row r="210" spans="1:26" x14ac:dyDescent="0.25">
      <c r="A210">
        <v>874</v>
      </c>
      <c r="B210" t="s">
        <v>1810</v>
      </c>
      <c r="C210" t="s">
        <v>2645</v>
      </c>
      <c r="D210" t="s">
        <v>2369</v>
      </c>
      <c r="E210" t="s">
        <v>2089</v>
      </c>
      <c r="F210" t="s">
        <v>2922</v>
      </c>
      <c r="G210" t="s">
        <v>1252</v>
      </c>
      <c r="H210" t="s">
        <v>3344</v>
      </c>
      <c r="I210" t="s">
        <v>3345</v>
      </c>
      <c r="J210" t="s">
        <v>3443</v>
      </c>
      <c r="K210" s="6" t="s">
        <v>3663</v>
      </c>
      <c r="L210" s="5" t="s">
        <v>3663</v>
      </c>
      <c r="M210" t="s">
        <v>1532</v>
      </c>
      <c r="N210" t="s">
        <v>1532</v>
      </c>
      <c r="O210" t="s">
        <v>19</v>
      </c>
      <c r="P210" t="s">
        <v>208</v>
      </c>
      <c r="Q210" t="s">
        <v>211</v>
      </c>
      <c r="R210" t="s">
        <v>528</v>
      </c>
      <c r="S210" s="4">
        <v>3550180177713360</v>
      </c>
      <c r="T210" t="s">
        <v>18</v>
      </c>
      <c r="U210" s="1">
        <v>9346.81</v>
      </c>
      <c r="V210" s="1" t="s">
        <v>666</v>
      </c>
      <c r="W210" s="1" t="s">
        <v>1036</v>
      </c>
      <c r="X210" t="str">
        <f>IF(V210="","",VLOOKUP(V210,WMI!A:C,2,FALSE))</f>
        <v>Germany</v>
      </c>
      <c r="Y210" t="str">
        <f>IF(V210="","",VLOOKUP(V210,WMI!A:C,3,FALSE))</f>
        <v>DaimlerChrysler AG/Daimler AG</v>
      </c>
      <c r="Z210">
        <f>IF(W210="","",VLOOKUP(W210,year!A:B,2,FALSE))</f>
        <v>2014</v>
      </c>
    </row>
    <row r="211" spans="1:26" x14ac:dyDescent="0.25">
      <c r="A211">
        <v>282</v>
      </c>
      <c r="B211" t="s">
        <v>1811</v>
      </c>
      <c r="C211" t="s">
        <v>2646</v>
      </c>
      <c r="D211" t="s">
        <v>2370</v>
      </c>
      <c r="E211" t="s">
        <v>2090</v>
      </c>
      <c r="F211" t="s">
        <v>2923</v>
      </c>
      <c r="G211" t="s">
        <v>1253</v>
      </c>
      <c r="H211" t="s">
        <v>3346</v>
      </c>
      <c r="I211" t="s">
        <v>3201</v>
      </c>
      <c r="J211" t="s">
        <v>3452</v>
      </c>
      <c r="K211" s="6" t="s">
        <v>3664</v>
      </c>
      <c r="L211" s="5" t="s">
        <v>3664</v>
      </c>
      <c r="M211" t="s">
        <v>1533</v>
      </c>
      <c r="N211" t="s">
        <v>1533</v>
      </c>
      <c r="O211" t="s">
        <v>19</v>
      </c>
      <c r="P211" t="s">
        <v>39</v>
      </c>
      <c r="Q211" t="s">
        <v>274</v>
      </c>
      <c r="R211" t="s">
        <v>275</v>
      </c>
      <c r="S211" s="4">
        <v>3564622638770530</v>
      </c>
      <c r="T211" t="s">
        <v>18</v>
      </c>
      <c r="U211" s="1">
        <v>7204.78</v>
      </c>
      <c r="V211" s="1" t="s">
        <v>680</v>
      </c>
      <c r="W211" s="1" t="s">
        <v>1036</v>
      </c>
      <c r="X211" t="str">
        <f>IF(V211="","",VLOOKUP(V211,WMI!A:C,2,FALSE))</f>
        <v>Germany</v>
      </c>
      <c r="Y211" t="str">
        <f>IF(V211="","",VLOOKUP(V211,WMI!A:C,3,FALSE))</f>
        <v>Volkswagen</v>
      </c>
      <c r="Z211">
        <f>IF(W211="","",VLOOKUP(W211,year!A:B,2,FALSE))</f>
        <v>2014</v>
      </c>
    </row>
    <row r="212" spans="1:26" x14ac:dyDescent="0.25">
      <c r="A212">
        <v>330</v>
      </c>
      <c r="B212" t="s">
        <v>1812</v>
      </c>
      <c r="C212" t="s">
        <v>2647</v>
      </c>
      <c r="D212" t="s">
        <v>2371</v>
      </c>
      <c r="E212" t="s">
        <v>2091</v>
      </c>
      <c r="F212" t="s">
        <v>2924</v>
      </c>
      <c r="G212" t="s">
        <v>1254</v>
      </c>
      <c r="H212" t="s">
        <v>3347</v>
      </c>
      <c r="I212" t="s">
        <v>3034</v>
      </c>
      <c r="J212" t="s">
        <v>3446</v>
      </c>
      <c r="K212" s="6" t="s">
        <v>3665</v>
      </c>
      <c r="L212" s="5" t="s">
        <v>3665</v>
      </c>
      <c r="M212" t="s">
        <v>1534</v>
      </c>
      <c r="N212" t="s">
        <v>1534</v>
      </c>
      <c r="O212" t="s">
        <v>16</v>
      </c>
      <c r="P212" t="s">
        <v>100</v>
      </c>
      <c r="Q212" t="s">
        <v>163</v>
      </c>
      <c r="R212" t="s">
        <v>291</v>
      </c>
      <c r="S212" s="4">
        <v>3546120097819710</v>
      </c>
      <c r="T212" t="s">
        <v>18</v>
      </c>
      <c r="U212" s="1">
        <v>9330.75</v>
      </c>
      <c r="V212" s="1" t="s">
        <v>680</v>
      </c>
      <c r="W212" s="1" t="s">
        <v>1036</v>
      </c>
      <c r="X212" t="str">
        <f>IF(V212="","",VLOOKUP(V212,WMI!A:C,2,FALSE))</f>
        <v>Germany</v>
      </c>
      <c r="Y212" t="str">
        <f>IF(V212="","",VLOOKUP(V212,WMI!A:C,3,FALSE))</f>
        <v>Volkswagen</v>
      </c>
      <c r="Z212">
        <f>IF(W212="","",VLOOKUP(W212,year!A:B,2,FALSE))</f>
        <v>2014</v>
      </c>
    </row>
    <row r="213" spans="1:26" x14ac:dyDescent="0.25">
      <c r="A213">
        <v>348</v>
      </c>
      <c r="B213" t="s">
        <v>1813</v>
      </c>
      <c r="C213" t="s">
        <v>2648</v>
      </c>
      <c r="D213" t="s">
        <v>2372</v>
      </c>
      <c r="E213" t="s">
        <v>2092</v>
      </c>
      <c r="F213" t="s">
        <v>2925</v>
      </c>
      <c r="G213" t="s">
        <v>1255</v>
      </c>
      <c r="H213" t="s">
        <v>3348</v>
      </c>
      <c r="I213" t="s">
        <v>3146</v>
      </c>
      <c r="J213" t="s">
        <v>2993</v>
      </c>
      <c r="K213" s="6" t="s">
        <v>3577</v>
      </c>
      <c r="L213" s="5" t="s">
        <v>3577</v>
      </c>
      <c r="M213" t="s">
        <v>1535</v>
      </c>
      <c r="N213" t="s">
        <v>1535</v>
      </c>
      <c r="O213" t="s">
        <v>19</v>
      </c>
      <c r="P213" t="s">
        <v>107</v>
      </c>
      <c r="Q213" t="s">
        <v>227</v>
      </c>
      <c r="R213" t="s">
        <v>296</v>
      </c>
      <c r="S213" s="4">
        <v>3575245964061250</v>
      </c>
      <c r="T213" t="s">
        <v>18</v>
      </c>
      <c r="U213" s="1">
        <v>9510.67</v>
      </c>
      <c r="V213" s="1" t="s">
        <v>680</v>
      </c>
      <c r="W213" s="1" t="s">
        <v>1036</v>
      </c>
      <c r="X213" t="str">
        <f>IF(V213="","",VLOOKUP(V213,WMI!A:C,2,FALSE))</f>
        <v>Germany</v>
      </c>
      <c r="Y213" t="str">
        <f>IF(V213="","",VLOOKUP(V213,WMI!A:C,3,FALSE))</f>
        <v>Volkswagen</v>
      </c>
      <c r="Z213">
        <f>IF(W213="","",VLOOKUP(W213,year!A:B,2,FALSE))</f>
        <v>2014</v>
      </c>
    </row>
    <row r="214" spans="1:26" x14ac:dyDescent="0.25">
      <c r="A214">
        <v>356</v>
      </c>
      <c r="B214" t="s">
        <v>1814</v>
      </c>
      <c r="C214" t="s">
        <v>2649</v>
      </c>
      <c r="D214" t="s">
        <v>2373</v>
      </c>
      <c r="E214" t="s">
        <v>2093</v>
      </c>
      <c r="F214" t="s">
        <v>2926</v>
      </c>
      <c r="G214" t="s">
        <v>1256</v>
      </c>
      <c r="H214" t="s">
        <v>3349</v>
      </c>
      <c r="I214" t="s">
        <v>3117</v>
      </c>
      <c r="J214" t="s">
        <v>3446</v>
      </c>
      <c r="K214" s="6" t="s">
        <v>3666</v>
      </c>
      <c r="L214" s="5" t="s">
        <v>3666</v>
      </c>
      <c r="M214" t="s">
        <v>1536</v>
      </c>
      <c r="N214" t="s">
        <v>1536</v>
      </c>
      <c r="O214" t="s">
        <v>19</v>
      </c>
      <c r="P214" t="s">
        <v>39</v>
      </c>
      <c r="Q214" t="s">
        <v>237</v>
      </c>
      <c r="R214" t="s">
        <v>301</v>
      </c>
      <c r="S214" s="4">
        <v>3533875260809400</v>
      </c>
      <c r="T214" t="s">
        <v>18</v>
      </c>
      <c r="U214" s="1">
        <v>5432.89</v>
      </c>
      <c r="V214" s="1" t="s">
        <v>680</v>
      </c>
      <c r="W214" s="1" t="s">
        <v>1036</v>
      </c>
      <c r="X214" t="str">
        <f>IF(V214="","",VLOOKUP(V214,WMI!A:C,2,FALSE))</f>
        <v>Germany</v>
      </c>
      <c r="Y214" t="str">
        <f>IF(V214="","",VLOOKUP(V214,WMI!A:C,3,FALSE))</f>
        <v>Volkswagen</v>
      </c>
      <c r="Z214">
        <f>IF(W214="","",VLOOKUP(W214,year!A:B,2,FALSE))</f>
        <v>2014</v>
      </c>
    </row>
    <row r="215" spans="1:26" x14ac:dyDescent="0.25">
      <c r="A215">
        <v>586</v>
      </c>
      <c r="B215" t="s">
        <v>1815</v>
      </c>
      <c r="C215" t="s">
        <v>2650</v>
      </c>
      <c r="D215" t="s">
        <v>2374</v>
      </c>
      <c r="E215" t="s">
        <v>2094</v>
      </c>
      <c r="F215" t="s">
        <v>2927</v>
      </c>
      <c r="G215" t="s">
        <v>1257</v>
      </c>
      <c r="H215" t="s">
        <v>3350</v>
      </c>
      <c r="I215" t="s">
        <v>3351</v>
      </c>
      <c r="J215" t="s">
        <v>3436</v>
      </c>
      <c r="K215" s="6" t="s">
        <v>3667</v>
      </c>
      <c r="L215" s="5" t="s">
        <v>3667</v>
      </c>
      <c r="M215" t="s">
        <v>1537</v>
      </c>
      <c r="N215" t="s">
        <v>1537</v>
      </c>
      <c r="O215" t="s">
        <v>19</v>
      </c>
      <c r="P215" t="s">
        <v>43</v>
      </c>
      <c r="Q215">
        <v>600</v>
      </c>
      <c r="R215" t="s">
        <v>409</v>
      </c>
      <c r="S215" s="4">
        <v>3575832075754800</v>
      </c>
      <c r="T215" t="s">
        <v>18</v>
      </c>
      <c r="U215" s="1">
        <v>9268.24</v>
      </c>
      <c r="V215" s="1" t="s">
        <v>680</v>
      </c>
      <c r="W215" s="1" t="s">
        <v>1036</v>
      </c>
      <c r="X215" t="str">
        <f>IF(V215="","",VLOOKUP(V215,WMI!A:C,2,FALSE))</f>
        <v>Germany</v>
      </c>
      <c r="Y215" t="str">
        <f>IF(V215="","",VLOOKUP(V215,WMI!A:C,3,FALSE))</f>
        <v>Volkswagen</v>
      </c>
      <c r="Z215">
        <f>IF(W215="","",VLOOKUP(W215,year!A:B,2,FALSE))</f>
        <v>2014</v>
      </c>
    </row>
    <row r="216" spans="1:26" x14ac:dyDescent="0.25">
      <c r="A216">
        <v>605</v>
      </c>
      <c r="B216" t="s">
        <v>1816</v>
      </c>
      <c r="C216" t="s">
        <v>2651</v>
      </c>
      <c r="D216" t="s">
        <v>2375</v>
      </c>
      <c r="E216" t="s">
        <v>2095</v>
      </c>
      <c r="F216" t="s">
        <v>2928</v>
      </c>
      <c r="G216" t="s">
        <v>1258</v>
      </c>
      <c r="H216" t="s">
        <v>3352</v>
      </c>
      <c r="I216" t="s">
        <v>3353</v>
      </c>
      <c r="J216" t="s">
        <v>3439</v>
      </c>
      <c r="K216" s="6" t="s">
        <v>3668</v>
      </c>
      <c r="L216" s="5" t="s">
        <v>3668</v>
      </c>
      <c r="M216" t="s">
        <v>1538</v>
      </c>
      <c r="N216" t="s">
        <v>1538</v>
      </c>
      <c r="O216" t="s">
        <v>19</v>
      </c>
      <c r="P216" t="s">
        <v>39</v>
      </c>
      <c r="Q216" t="s">
        <v>418</v>
      </c>
      <c r="R216" t="s">
        <v>419</v>
      </c>
      <c r="S216" s="4">
        <v>3558001414501660</v>
      </c>
      <c r="T216" t="s">
        <v>18</v>
      </c>
      <c r="U216" s="1">
        <v>9942.41</v>
      </c>
      <c r="V216" s="1" t="s">
        <v>680</v>
      </c>
      <c r="W216" s="1" t="s">
        <v>1036</v>
      </c>
      <c r="X216" t="str">
        <f>IF(V216="","",VLOOKUP(V216,WMI!A:C,2,FALSE))</f>
        <v>Germany</v>
      </c>
      <c r="Y216" t="str">
        <f>IF(V216="","",VLOOKUP(V216,WMI!A:C,3,FALSE))</f>
        <v>Volkswagen</v>
      </c>
      <c r="Z216">
        <f>IF(W216="","",VLOOKUP(W216,year!A:B,2,FALSE))</f>
        <v>2014</v>
      </c>
    </row>
    <row r="217" spans="1:26" x14ac:dyDescent="0.25">
      <c r="A217">
        <v>346</v>
      </c>
      <c r="B217" t="s">
        <v>1817</v>
      </c>
      <c r="C217" t="s">
        <v>2652</v>
      </c>
      <c r="D217" t="s">
        <v>2376</v>
      </c>
      <c r="E217" t="s">
        <v>2096</v>
      </c>
      <c r="F217" t="s">
        <v>2929</v>
      </c>
      <c r="G217" t="s">
        <v>1259</v>
      </c>
      <c r="H217" t="s">
        <v>3354</v>
      </c>
      <c r="I217" t="s">
        <v>3155</v>
      </c>
      <c r="J217" t="s">
        <v>3445</v>
      </c>
      <c r="K217" s="6" t="s">
        <v>3549</v>
      </c>
      <c r="L217" s="5" t="s">
        <v>3549</v>
      </c>
      <c r="M217" t="s">
        <v>1539</v>
      </c>
      <c r="N217" t="s">
        <v>1539</v>
      </c>
      <c r="O217" t="s">
        <v>16</v>
      </c>
      <c r="P217" t="s">
        <v>36</v>
      </c>
      <c r="Q217" t="s">
        <v>294</v>
      </c>
      <c r="R217" t="s">
        <v>295</v>
      </c>
      <c r="S217" s="4">
        <v>3575048138325140</v>
      </c>
      <c r="T217" t="s">
        <v>18</v>
      </c>
      <c r="U217" s="1">
        <v>6213.04</v>
      </c>
      <c r="V217" s="1" t="s">
        <v>585</v>
      </c>
      <c r="W217" s="1" t="s">
        <v>1036</v>
      </c>
      <c r="X217" t="str">
        <f>IF(V217="","",VLOOKUP(V217,WMI!A:C,2,FALSE))</f>
        <v>Japan</v>
      </c>
      <c r="Y217" t="str">
        <f>IF(V217="","",VLOOKUP(V217,WMI!A:C,3,FALSE))</f>
        <v>Mazda</v>
      </c>
      <c r="Z217">
        <f>IF(W217="","",VLOOKUP(W217,year!A:B,2,FALSE))</f>
        <v>2014</v>
      </c>
    </row>
    <row r="218" spans="1:26" x14ac:dyDescent="0.25">
      <c r="A218">
        <v>429</v>
      </c>
      <c r="B218" t="s">
        <v>1818</v>
      </c>
      <c r="C218" t="s">
        <v>2653</v>
      </c>
      <c r="D218" t="s">
        <v>2377</v>
      </c>
      <c r="E218" t="s">
        <v>2097</v>
      </c>
      <c r="F218" t="s">
        <v>2930</v>
      </c>
      <c r="G218" t="s">
        <v>1260</v>
      </c>
      <c r="H218" t="s">
        <v>3355</v>
      </c>
      <c r="I218" t="s">
        <v>3034</v>
      </c>
      <c r="J218" t="s">
        <v>3446</v>
      </c>
      <c r="K218" s="6" t="s">
        <v>3669</v>
      </c>
      <c r="L218" s="5" t="s">
        <v>3669</v>
      </c>
      <c r="M218" t="s">
        <v>1540</v>
      </c>
      <c r="N218" t="s">
        <v>1540</v>
      </c>
      <c r="O218" t="s">
        <v>19</v>
      </c>
      <c r="P218" t="s">
        <v>43</v>
      </c>
      <c r="Q218" t="s">
        <v>195</v>
      </c>
      <c r="R218" t="s">
        <v>346</v>
      </c>
      <c r="S218" s="4">
        <v>5.6418256442156602E+17</v>
      </c>
      <c r="T218" t="s">
        <v>29</v>
      </c>
      <c r="U218" s="1">
        <v>5006.83</v>
      </c>
      <c r="V218" s="1" t="s">
        <v>585</v>
      </c>
      <c r="W218" s="1" t="s">
        <v>1036</v>
      </c>
      <c r="X218" t="str">
        <f>IF(V218="","",VLOOKUP(V218,WMI!A:C,2,FALSE))</f>
        <v>Japan</v>
      </c>
      <c r="Y218" t="str">
        <f>IF(V218="","",VLOOKUP(V218,WMI!A:C,3,FALSE))</f>
        <v>Mazda</v>
      </c>
      <c r="Z218">
        <f>IF(W218="","",VLOOKUP(W218,year!A:B,2,FALSE))</f>
        <v>2014</v>
      </c>
    </row>
    <row r="219" spans="1:26" x14ac:dyDescent="0.25">
      <c r="A219">
        <v>510</v>
      </c>
      <c r="B219" t="s">
        <v>1819</v>
      </c>
      <c r="C219" t="s">
        <v>2654</v>
      </c>
      <c r="D219" t="s">
        <v>2378</v>
      </c>
      <c r="E219" t="s">
        <v>2098</v>
      </c>
      <c r="F219" t="s">
        <v>2931</v>
      </c>
      <c r="G219" t="s">
        <v>1261</v>
      </c>
      <c r="H219" t="s">
        <v>3356</v>
      </c>
      <c r="I219" t="s">
        <v>3062</v>
      </c>
      <c r="J219" t="s">
        <v>3445</v>
      </c>
      <c r="K219" s="6" t="s">
        <v>3670</v>
      </c>
      <c r="L219" s="5" t="s">
        <v>3670</v>
      </c>
      <c r="M219" t="s">
        <v>1541</v>
      </c>
      <c r="N219" t="s">
        <v>1541</v>
      </c>
      <c r="O219" t="s">
        <v>16</v>
      </c>
      <c r="P219" t="s">
        <v>39</v>
      </c>
      <c r="Q219" t="s">
        <v>57</v>
      </c>
      <c r="R219" t="s">
        <v>374</v>
      </c>
      <c r="S219" s="4">
        <v>5100177346772730</v>
      </c>
      <c r="T219" t="s">
        <v>23</v>
      </c>
      <c r="U219" s="1">
        <v>5248.18</v>
      </c>
      <c r="V219" s="1" t="s">
        <v>776</v>
      </c>
      <c r="W219" s="1" t="s">
        <v>1036</v>
      </c>
      <c r="X219" t="str">
        <f>IF(V219="","",VLOOKUP(V219,WMI!A:C,2,FALSE))</f>
        <v>Japan</v>
      </c>
      <c r="Y219" t="str">
        <f>IF(V219="","",VLOOKUP(V219,WMI!A:C,3,FALSE))</f>
        <v>Honda</v>
      </c>
      <c r="Z219">
        <f>IF(W219="","",VLOOKUP(W219,year!A:B,2,FALSE))</f>
        <v>2014</v>
      </c>
    </row>
    <row r="220" spans="1:26" x14ac:dyDescent="0.25">
      <c r="A220">
        <v>137</v>
      </c>
      <c r="B220" t="s">
        <v>1820</v>
      </c>
      <c r="C220" t="s">
        <v>2655</v>
      </c>
      <c r="D220" t="s">
        <v>2379</v>
      </c>
      <c r="E220" t="s">
        <v>2099</v>
      </c>
      <c r="F220" t="s">
        <v>2932</v>
      </c>
      <c r="G220" t="s">
        <v>1262</v>
      </c>
      <c r="H220" t="s">
        <v>3357</v>
      </c>
      <c r="I220" t="s">
        <v>3228</v>
      </c>
      <c r="J220" t="s">
        <v>3446</v>
      </c>
      <c r="K220" s="6" t="s">
        <v>3671</v>
      </c>
      <c r="L220" s="5" t="s">
        <v>3671</v>
      </c>
      <c r="M220" t="s">
        <v>1542</v>
      </c>
      <c r="N220" t="s">
        <v>1542</v>
      </c>
      <c r="O220" t="s">
        <v>16</v>
      </c>
      <c r="P220" t="s">
        <v>24</v>
      </c>
      <c r="Q220" t="s">
        <v>72</v>
      </c>
      <c r="R220" t="s">
        <v>172</v>
      </c>
      <c r="S220" s="4">
        <v>4405992172671440</v>
      </c>
      <c r="T220" t="s">
        <v>26</v>
      </c>
      <c r="U220" s="1">
        <v>8868.5499999999993</v>
      </c>
      <c r="V220" s="1" t="s">
        <v>728</v>
      </c>
      <c r="W220" s="1" t="s">
        <v>1036</v>
      </c>
      <c r="X220" t="str">
        <f>IF(V220="","",VLOOKUP(V220,WMI!A:C,2,FALSE))</f>
        <v>Mexico</v>
      </c>
      <c r="Y220" t="str">
        <f>IF(V220="","",VLOOKUP(V220,WMI!A:C,3,FALSE))</f>
        <v>Volkswagen</v>
      </c>
      <c r="Z220">
        <f>IF(W220="","",VLOOKUP(W220,year!A:B,2,FALSE))</f>
        <v>2014</v>
      </c>
    </row>
    <row r="221" spans="1:26" x14ac:dyDescent="0.25">
      <c r="A221">
        <v>135</v>
      </c>
      <c r="B221" t="s">
        <v>1821</v>
      </c>
      <c r="C221" t="s">
        <v>2656</v>
      </c>
      <c r="D221" t="s">
        <v>2380</v>
      </c>
      <c r="E221" t="s">
        <v>2100</v>
      </c>
      <c r="F221" t="s">
        <v>2933</v>
      </c>
      <c r="G221" t="s">
        <v>1263</v>
      </c>
      <c r="H221" t="s">
        <v>3358</v>
      </c>
      <c r="I221" t="s">
        <v>3004</v>
      </c>
      <c r="J221" t="s">
        <v>3457</v>
      </c>
      <c r="K221" s="6" t="s">
        <v>3672</v>
      </c>
      <c r="L221" s="5" t="s">
        <v>3672</v>
      </c>
      <c r="M221" t="s">
        <v>1543</v>
      </c>
      <c r="N221" t="s">
        <v>1543</v>
      </c>
      <c r="O221" t="s">
        <v>19</v>
      </c>
      <c r="P221" t="s">
        <v>100</v>
      </c>
      <c r="Q221" t="s">
        <v>169</v>
      </c>
      <c r="R221" t="s">
        <v>170</v>
      </c>
      <c r="S221" s="4">
        <v>3558138544716000</v>
      </c>
      <c r="T221" t="s">
        <v>18</v>
      </c>
      <c r="U221" s="1">
        <v>7890.45</v>
      </c>
      <c r="V221" s="1" t="s">
        <v>781</v>
      </c>
      <c r="W221" s="1" t="s">
        <v>1036</v>
      </c>
      <c r="X221" t="str">
        <f>IF(V221="","",VLOOKUP(V221,WMI!A:C,2,FALSE))</f>
        <v>South Korea</v>
      </c>
      <c r="Y221" t="str">
        <f>IF(V221="","",VLOOKUP(V221,WMI!A:C,3,FALSE))</f>
        <v>Hyundai</v>
      </c>
      <c r="Z221">
        <f>IF(W221="","",VLOOKUP(W221,year!A:B,2,FALSE))</f>
        <v>2014</v>
      </c>
    </row>
    <row r="222" spans="1:26" x14ac:dyDescent="0.25">
      <c r="A222">
        <v>747</v>
      </c>
      <c r="B222" t="s">
        <v>1822</v>
      </c>
      <c r="C222" t="s">
        <v>2657</v>
      </c>
      <c r="D222" t="s">
        <v>2381</v>
      </c>
      <c r="E222" t="s">
        <v>2101</v>
      </c>
      <c r="F222" t="s">
        <v>2934</v>
      </c>
      <c r="G222" t="s">
        <v>1264</v>
      </c>
      <c r="H222" t="s">
        <v>3359</v>
      </c>
      <c r="I222" t="s">
        <v>3135</v>
      </c>
      <c r="J222" t="s">
        <v>3451</v>
      </c>
      <c r="K222" s="6" t="s">
        <v>3673</v>
      </c>
      <c r="L222" s="5" t="s">
        <v>3673</v>
      </c>
      <c r="M222" t="s">
        <v>1544</v>
      </c>
      <c r="N222" t="s">
        <v>1544</v>
      </c>
      <c r="O222" t="s">
        <v>16</v>
      </c>
      <c r="P222" t="s">
        <v>133</v>
      </c>
      <c r="Q222" t="s">
        <v>372</v>
      </c>
      <c r="R222" t="s">
        <v>479</v>
      </c>
      <c r="S222" s="4">
        <v>201525223884415</v>
      </c>
      <c r="T222" t="s">
        <v>28</v>
      </c>
      <c r="U222" s="1">
        <v>9431.2900000000009</v>
      </c>
      <c r="V222" s="1" t="s">
        <v>781</v>
      </c>
      <c r="W222" s="1" t="s">
        <v>1036</v>
      </c>
      <c r="X222" t="str">
        <f>IF(V222="","",VLOOKUP(V222,WMI!A:C,2,FALSE))</f>
        <v>South Korea</v>
      </c>
      <c r="Y222" t="str">
        <f>IF(V222="","",VLOOKUP(V222,WMI!A:C,3,FALSE))</f>
        <v>Hyundai</v>
      </c>
      <c r="Z222">
        <f>IF(W222="","",VLOOKUP(W222,year!A:B,2,FALSE))</f>
        <v>2014</v>
      </c>
    </row>
    <row r="223" spans="1:26" x14ac:dyDescent="0.25">
      <c r="A223">
        <v>494</v>
      </c>
      <c r="B223" t="s">
        <v>1823</v>
      </c>
      <c r="C223" t="s">
        <v>2658</v>
      </c>
      <c r="D223" t="s">
        <v>2382</v>
      </c>
      <c r="E223" t="s">
        <v>2102</v>
      </c>
      <c r="F223" t="s">
        <v>2935</v>
      </c>
      <c r="G223" t="s">
        <v>1265</v>
      </c>
      <c r="H223" t="s">
        <v>3360</v>
      </c>
      <c r="I223" t="s">
        <v>3361</v>
      </c>
      <c r="J223" t="s">
        <v>3454</v>
      </c>
      <c r="K223" s="6" t="s">
        <v>3674</v>
      </c>
      <c r="L223" s="5" t="s">
        <v>3674</v>
      </c>
      <c r="M223" t="s">
        <v>1545</v>
      </c>
      <c r="N223" t="s">
        <v>1545</v>
      </c>
      <c r="O223" t="s">
        <v>19</v>
      </c>
      <c r="P223" t="s">
        <v>31</v>
      </c>
      <c r="Q223" t="s">
        <v>155</v>
      </c>
      <c r="R223" t="s">
        <v>365</v>
      </c>
      <c r="S223" s="4">
        <v>3570277535469890</v>
      </c>
      <c r="T223" t="s">
        <v>18</v>
      </c>
      <c r="U223" s="1">
        <v>9031.42</v>
      </c>
      <c r="V223" s="1" t="s">
        <v>692</v>
      </c>
      <c r="W223" s="1" t="s">
        <v>1036</v>
      </c>
      <c r="X223" t="str">
        <f>IF(V223="","",VLOOKUP(V223,WMI!A:C,2,FALSE))</f>
        <v>Sweden</v>
      </c>
      <c r="Y223" t="str">
        <f>IF(V223="","",VLOOKUP(V223,WMI!A:C,3,FALSE))</f>
        <v>Volvo Cars</v>
      </c>
      <c r="Z223">
        <f>IF(W223="","",VLOOKUP(W223,year!A:B,2,FALSE))</f>
        <v>2014</v>
      </c>
    </row>
    <row r="224" spans="1:26" x14ac:dyDescent="0.25">
      <c r="A224">
        <v>33</v>
      </c>
      <c r="B224" t="s">
        <v>1824</v>
      </c>
      <c r="C224" t="s">
        <v>2659</v>
      </c>
      <c r="D224" t="s">
        <v>2383</v>
      </c>
      <c r="E224" t="s">
        <v>2103</v>
      </c>
      <c r="F224" t="s">
        <v>2936</v>
      </c>
      <c r="G224" t="s">
        <v>1266</v>
      </c>
      <c r="H224" t="s">
        <v>3362</v>
      </c>
      <c r="I224" t="s">
        <v>3363</v>
      </c>
      <c r="J224" t="s">
        <v>3001</v>
      </c>
      <c r="K224" s="6" t="s">
        <v>3675</v>
      </c>
      <c r="L224" s="5" t="s">
        <v>3675</v>
      </c>
      <c r="M224" t="s">
        <v>1546</v>
      </c>
      <c r="N224" t="s">
        <v>1546</v>
      </c>
      <c r="O224" t="s">
        <v>16</v>
      </c>
      <c r="P224" t="s">
        <v>74</v>
      </c>
      <c r="Q224" t="s">
        <v>75</v>
      </c>
      <c r="R224" t="s">
        <v>76</v>
      </c>
      <c r="S224" s="4">
        <v>30566374121543</v>
      </c>
      <c r="T224" t="s">
        <v>46</v>
      </c>
      <c r="U224" s="1">
        <v>8311.2900000000009</v>
      </c>
      <c r="V224" s="1" t="s">
        <v>622</v>
      </c>
      <c r="W224" s="1" t="s">
        <v>1036</v>
      </c>
      <c r="X224" t="str">
        <f>IF(V224="","",VLOOKUP(V224,WMI!A:C,2,FALSE))</f>
        <v>United Kingdom</v>
      </c>
      <c r="Y224" t="str">
        <f>IF(V224="","",VLOOKUP(V224,WMI!A:C,3,FALSE))</f>
        <v>Jaguar</v>
      </c>
      <c r="Z224">
        <f>IF(W224="","",VLOOKUP(W224,year!A:B,2,FALSE))</f>
        <v>2014</v>
      </c>
    </row>
    <row r="225" spans="1:26" x14ac:dyDescent="0.25">
      <c r="A225">
        <v>101</v>
      </c>
      <c r="B225" t="s">
        <v>1825</v>
      </c>
      <c r="C225" t="s">
        <v>2660</v>
      </c>
      <c r="D225" t="s">
        <v>2384</v>
      </c>
      <c r="E225" t="s">
        <v>2104</v>
      </c>
      <c r="F225" t="s">
        <v>2937</v>
      </c>
      <c r="G225" t="s">
        <v>1267</v>
      </c>
      <c r="H225" t="s">
        <v>3364</v>
      </c>
      <c r="I225" t="s">
        <v>3125</v>
      </c>
      <c r="J225" t="s">
        <v>3459</v>
      </c>
      <c r="K225" s="6" t="s">
        <v>3676</v>
      </c>
      <c r="L225" s="5" t="s">
        <v>3676</v>
      </c>
      <c r="M225" t="s">
        <v>1547</v>
      </c>
      <c r="N225" t="s">
        <v>1547</v>
      </c>
      <c r="O225" t="s">
        <v>16</v>
      </c>
      <c r="P225" t="s">
        <v>120</v>
      </c>
      <c r="Q225" t="s">
        <v>135</v>
      </c>
      <c r="R225" t="s">
        <v>136</v>
      </c>
      <c r="S225" s="4">
        <v>4.9031830091739802E+18</v>
      </c>
      <c r="T225" t="s">
        <v>29</v>
      </c>
      <c r="U225" s="1">
        <v>5847.35</v>
      </c>
      <c r="V225" s="1" t="s">
        <v>622</v>
      </c>
      <c r="W225" s="1" t="s">
        <v>1036</v>
      </c>
      <c r="X225" t="str">
        <f>IF(V225="","",VLOOKUP(V225,WMI!A:C,2,FALSE))</f>
        <v>United Kingdom</v>
      </c>
      <c r="Y225" t="str">
        <f>IF(V225="","",VLOOKUP(V225,WMI!A:C,3,FALSE))</f>
        <v>Jaguar</v>
      </c>
      <c r="Z225">
        <f>IF(W225="","",VLOOKUP(W225,year!A:B,2,FALSE))</f>
        <v>2014</v>
      </c>
    </row>
    <row r="226" spans="1:26" x14ac:dyDescent="0.25">
      <c r="A226">
        <v>262</v>
      </c>
      <c r="B226" t="s">
        <v>1826</v>
      </c>
      <c r="C226" t="s">
        <v>2661</v>
      </c>
      <c r="D226" t="s">
        <v>2385</v>
      </c>
      <c r="E226" t="s">
        <v>2105</v>
      </c>
      <c r="F226" t="s">
        <v>2938</v>
      </c>
      <c r="G226" t="s">
        <v>1268</v>
      </c>
      <c r="H226" t="s">
        <v>3365</v>
      </c>
      <c r="I226" t="s">
        <v>3004</v>
      </c>
      <c r="J226" t="s">
        <v>3457</v>
      </c>
      <c r="K226" s="6" t="s">
        <v>3677</v>
      </c>
      <c r="L226" s="5" t="s">
        <v>3677</v>
      </c>
      <c r="M226" t="s">
        <v>1548</v>
      </c>
      <c r="N226" t="s">
        <v>1548</v>
      </c>
      <c r="O226" t="s">
        <v>16</v>
      </c>
      <c r="P226" t="s">
        <v>77</v>
      </c>
      <c r="Q226">
        <v>9000</v>
      </c>
      <c r="R226" t="s">
        <v>262</v>
      </c>
      <c r="S226" s="4">
        <v>6.7639414398936699E+18</v>
      </c>
      <c r="T226" t="s">
        <v>82</v>
      </c>
      <c r="U226" s="1">
        <v>6459.84</v>
      </c>
      <c r="V226" s="1" t="s">
        <v>622</v>
      </c>
      <c r="W226" s="1" t="s">
        <v>1036</v>
      </c>
      <c r="X226" t="str">
        <f>IF(V226="","",VLOOKUP(V226,WMI!A:C,2,FALSE))</f>
        <v>United Kingdom</v>
      </c>
      <c r="Y226" t="str">
        <f>IF(V226="","",VLOOKUP(V226,WMI!A:C,3,FALSE))</f>
        <v>Jaguar</v>
      </c>
      <c r="Z226">
        <f>IF(W226="","",VLOOKUP(W226,year!A:B,2,FALSE))</f>
        <v>2014</v>
      </c>
    </row>
    <row r="227" spans="1:26" x14ac:dyDescent="0.25">
      <c r="A227">
        <v>890</v>
      </c>
      <c r="B227" t="s">
        <v>1827</v>
      </c>
      <c r="C227" t="s">
        <v>2662</v>
      </c>
      <c r="D227" t="s">
        <v>2386</v>
      </c>
      <c r="E227" t="s">
        <v>2106</v>
      </c>
      <c r="F227" t="s">
        <v>2939</v>
      </c>
      <c r="G227" t="s">
        <v>1269</v>
      </c>
      <c r="H227" t="s">
        <v>3366</v>
      </c>
      <c r="I227" t="s">
        <v>3062</v>
      </c>
      <c r="J227" t="s">
        <v>3445</v>
      </c>
      <c r="K227" s="6" t="s">
        <v>3678</v>
      </c>
      <c r="L227" s="5" t="s">
        <v>3678</v>
      </c>
      <c r="M227" t="s">
        <v>1549</v>
      </c>
      <c r="N227" t="s">
        <v>1549</v>
      </c>
      <c r="O227" t="s">
        <v>16</v>
      </c>
      <c r="P227" t="s">
        <v>20</v>
      </c>
      <c r="Q227" t="s">
        <v>21</v>
      </c>
      <c r="R227" t="s">
        <v>535</v>
      </c>
      <c r="S227" s="4">
        <v>201661160018053</v>
      </c>
      <c r="T227" t="s">
        <v>28</v>
      </c>
      <c r="U227" s="1">
        <v>7875.1</v>
      </c>
      <c r="V227" s="1" t="s">
        <v>622</v>
      </c>
      <c r="W227" s="1" t="s">
        <v>1036</v>
      </c>
      <c r="X227" t="str">
        <f>IF(V227="","",VLOOKUP(V227,WMI!A:C,2,FALSE))</f>
        <v>United Kingdom</v>
      </c>
      <c r="Y227" t="str">
        <f>IF(V227="","",VLOOKUP(V227,WMI!A:C,3,FALSE))</f>
        <v>Jaguar</v>
      </c>
      <c r="Z227">
        <f>IF(W227="","",VLOOKUP(W227,year!A:B,2,FALSE))</f>
        <v>2014</v>
      </c>
    </row>
    <row r="228" spans="1:26" x14ac:dyDescent="0.25">
      <c r="A228">
        <v>191</v>
      </c>
      <c r="B228" t="s">
        <v>1828</v>
      </c>
      <c r="C228" t="s">
        <v>2663</v>
      </c>
      <c r="D228" t="s">
        <v>2387</v>
      </c>
      <c r="E228" t="s">
        <v>2107</v>
      </c>
      <c r="F228" t="s">
        <v>2940</v>
      </c>
      <c r="G228" t="s">
        <v>1270</v>
      </c>
      <c r="H228" t="s">
        <v>3367</v>
      </c>
      <c r="I228" t="s">
        <v>3196</v>
      </c>
      <c r="J228" t="s">
        <v>3001</v>
      </c>
      <c r="K228" s="6" t="s">
        <v>3579</v>
      </c>
      <c r="L228" s="5" t="s">
        <v>3579</v>
      </c>
      <c r="M228" t="s">
        <v>1550</v>
      </c>
      <c r="N228" t="s">
        <v>1550</v>
      </c>
      <c r="O228" t="s">
        <v>19</v>
      </c>
      <c r="P228" t="s">
        <v>205</v>
      </c>
      <c r="Q228" t="s">
        <v>206</v>
      </c>
      <c r="R228" t="s">
        <v>207</v>
      </c>
      <c r="S228" s="4">
        <v>5108751561564080</v>
      </c>
      <c r="T228" t="s">
        <v>23</v>
      </c>
      <c r="U228" s="1">
        <v>5841.47</v>
      </c>
      <c r="V228" s="1" t="s">
        <v>621</v>
      </c>
      <c r="W228" s="1" t="s">
        <v>1036</v>
      </c>
      <c r="X228" t="str">
        <f>IF(V228="","",VLOOKUP(V228,WMI!A:C,2,FALSE))</f>
        <v>United Kingdom</v>
      </c>
      <c r="Y228" t="str">
        <f>IF(V228="","",VLOOKUP(V228,WMI!A:C,3,FALSE))</f>
        <v>Land Rover</v>
      </c>
      <c r="Z228">
        <f>IF(W228="","",VLOOKUP(W228,year!A:B,2,FALSE))</f>
        <v>2014</v>
      </c>
    </row>
    <row r="229" spans="1:26" x14ac:dyDescent="0.25">
      <c r="A229">
        <v>792</v>
      </c>
      <c r="B229" t="s">
        <v>1829</v>
      </c>
      <c r="C229" t="s">
        <v>2664</v>
      </c>
      <c r="D229" t="s">
        <v>2388</v>
      </c>
      <c r="E229" t="s">
        <v>2108</v>
      </c>
      <c r="F229" t="s">
        <v>2941</v>
      </c>
      <c r="G229" t="s">
        <v>1271</v>
      </c>
      <c r="H229" t="s">
        <v>3368</v>
      </c>
      <c r="I229" t="s">
        <v>3062</v>
      </c>
      <c r="J229" t="s">
        <v>3445</v>
      </c>
      <c r="K229" s="6" t="s">
        <v>3679</v>
      </c>
      <c r="L229" s="5" t="s">
        <v>3679</v>
      </c>
      <c r="M229" t="s">
        <v>1551</v>
      </c>
      <c r="N229" t="s">
        <v>1551</v>
      </c>
      <c r="O229" t="s">
        <v>19</v>
      </c>
      <c r="P229" t="s">
        <v>68</v>
      </c>
      <c r="Q229" t="s">
        <v>289</v>
      </c>
      <c r="R229" t="s">
        <v>499</v>
      </c>
      <c r="S229" s="4">
        <v>3588379561418270</v>
      </c>
      <c r="T229" t="s">
        <v>18</v>
      </c>
      <c r="U229" s="1">
        <v>6987.24</v>
      </c>
      <c r="V229" s="1" t="s">
        <v>621</v>
      </c>
      <c r="W229" s="1" t="s">
        <v>1036</v>
      </c>
      <c r="X229" t="str">
        <f>IF(V229="","",VLOOKUP(V229,WMI!A:C,2,FALSE))</f>
        <v>United Kingdom</v>
      </c>
      <c r="Y229" t="str">
        <f>IF(V229="","",VLOOKUP(V229,WMI!A:C,3,FALSE))</f>
        <v>Land Rover</v>
      </c>
      <c r="Z229">
        <f>IF(W229="","",VLOOKUP(W229,year!A:B,2,FALSE))</f>
        <v>2014</v>
      </c>
    </row>
    <row r="230" spans="1:26" x14ac:dyDescent="0.25">
      <c r="A230">
        <v>826</v>
      </c>
      <c r="B230" t="s">
        <v>1830</v>
      </c>
      <c r="C230" t="s">
        <v>2665</v>
      </c>
      <c r="D230" t="s">
        <v>2389</v>
      </c>
      <c r="E230" t="s">
        <v>2109</v>
      </c>
      <c r="F230" t="s">
        <v>2942</v>
      </c>
      <c r="G230" t="s">
        <v>1272</v>
      </c>
      <c r="H230" t="s">
        <v>3369</v>
      </c>
      <c r="I230" t="s">
        <v>3004</v>
      </c>
      <c r="J230" t="s">
        <v>3457</v>
      </c>
      <c r="K230" s="6" t="s">
        <v>3662</v>
      </c>
      <c r="L230" s="5" t="s">
        <v>3662</v>
      </c>
      <c r="M230" t="s">
        <v>1552</v>
      </c>
      <c r="N230" t="s">
        <v>1552</v>
      </c>
      <c r="O230" t="s">
        <v>19</v>
      </c>
      <c r="P230" t="s">
        <v>49</v>
      </c>
      <c r="Q230" t="s">
        <v>510</v>
      </c>
      <c r="R230" t="s">
        <v>511</v>
      </c>
      <c r="S230" s="4">
        <v>5330918801904040</v>
      </c>
      <c r="T230" t="s">
        <v>23</v>
      </c>
      <c r="U230" s="1">
        <v>5611.08</v>
      </c>
      <c r="V230" s="1" t="s">
        <v>621</v>
      </c>
      <c r="W230" s="1" t="s">
        <v>1036</v>
      </c>
      <c r="X230" t="str">
        <f>IF(V230="","",VLOOKUP(V230,WMI!A:C,2,FALSE))</f>
        <v>United Kingdom</v>
      </c>
      <c r="Y230" t="str">
        <f>IF(V230="","",VLOOKUP(V230,WMI!A:C,3,FALSE))</f>
        <v>Land Rover</v>
      </c>
      <c r="Z230">
        <f>IF(W230="","",VLOOKUP(W230,year!A:B,2,FALSE))</f>
        <v>2014</v>
      </c>
    </row>
    <row r="231" spans="1:26" x14ac:dyDescent="0.25">
      <c r="A231">
        <v>717</v>
      </c>
      <c r="B231" t="s">
        <v>1831</v>
      </c>
      <c r="C231" t="s">
        <v>2666</v>
      </c>
      <c r="D231" t="s">
        <v>2390</v>
      </c>
      <c r="E231" t="s">
        <v>2110</v>
      </c>
      <c r="F231" t="s">
        <v>2943</v>
      </c>
      <c r="G231" t="s">
        <v>1273</v>
      </c>
      <c r="H231" t="s">
        <v>3370</v>
      </c>
      <c r="I231" t="s">
        <v>3371</v>
      </c>
      <c r="J231" t="s">
        <v>3439</v>
      </c>
      <c r="K231" s="6" t="s">
        <v>3680</v>
      </c>
      <c r="L231" s="5" t="s">
        <v>3680</v>
      </c>
      <c r="M231" t="s">
        <v>1553</v>
      </c>
      <c r="N231" t="s">
        <v>1553</v>
      </c>
      <c r="O231" t="s">
        <v>16</v>
      </c>
      <c r="P231" t="s">
        <v>39</v>
      </c>
      <c r="Q231" t="s">
        <v>360</v>
      </c>
      <c r="R231" t="s">
        <v>469</v>
      </c>
      <c r="S231" s="4">
        <v>4903366389191530</v>
      </c>
      <c r="T231" t="s">
        <v>29</v>
      </c>
      <c r="U231" s="1">
        <v>8305.3700000000008</v>
      </c>
      <c r="V231" s="1" t="s">
        <v>735</v>
      </c>
      <c r="W231" s="1" t="s">
        <v>1036</v>
      </c>
      <c r="X231" t="str">
        <f>IF(V231="","",VLOOKUP(V231,WMI!A:C,2,FALSE))</f>
        <v>United States</v>
      </c>
      <c r="Y231" t="str">
        <f>IF(V231="","",VLOOKUP(V231,WMI!A:C,3,FALSE))</f>
        <v>Hyundai</v>
      </c>
      <c r="Z231">
        <f>IF(W231="","",VLOOKUP(W231,year!A:B,2,FALSE))</f>
        <v>2014</v>
      </c>
    </row>
    <row r="232" spans="1:26" x14ac:dyDescent="0.25">
      <c r="A232">
        <v>245</v>
      </c>
      <c r="B232" t="s">
        <v>1832</v>
      </c>
      <c r="C232" t="s">
        <v>2667</v>
      </c>
      <c r="D232" t="s">
        <v>2391</v>
      </c>
      <c r="E232" t="s">
        <v>2111</v>
      </c>
      <c r="F232" t="s">
        <v>2944</v>
      </c>
      <c r="G232" t="s">
        <v>1274</v>
      </c>
      <c r="H232" t="s">
        <v>3372</v>
      </c>
      <c r="I232" t="s">
        <v>3373</v>
      </c>
      <c r="J232" t="s">
        <v>3458</v>
      </c>
      <c r="K232" s="6" t="s">
        <v>3681</v>
      </c>
      <c r="L232" s="5" t="s">
        <v>3681</v>
      </c>
      <c r="M232" t="s">
        <v>1554</v>
      </c>
      <c r="N232" t="s">
        <v>1554</v>
      </c>
      <c r="O232" t="s">
        <v>19</v>
      </c>
      <c r="P232" t="s">
        <v>69</v>
      </c>
      <c r="Q232" t="s">
        <v>246</v>
      </c>
      <c r="R232" t="s">
        <v>247</v>
      </c>
      <c r="S232" s="4">
        <v>3531798893861720</v>
      </c>
      <c r="T232" t="s">
        <v>18</v>
      </c>
      <c r="U232" s="1">
        <v>8981.16</v>
      </c>
      <c r="V232" s="1" t="s">
        <v>734</v>
      </c>
      <c r="W232" s="1" t="s">
        <v>1036</v>
      </c>
      <c r="X232" t="str">
        <f>IF(V232="","",VLOOKUP(V232,WMI!A:C,2,FALSE))</f>
        <v>United States</v>
      </c>
      <c r="Y232" t="str">
        <f>IF(V232="","",VLOOKUP(V232,WMI!A:C,3,FALSE))</f>
        <v>Nissan</v>
      </c>
      <c r="Z232">
        <f>IF(W232="","",VLOOKUP(W232,year!A:B,2,FALSE))</f>
        <v>2014</v>
      </c>
    </row>
    <row r="233" spans="1:26" x14ac:dyDescent="0.25">
      <c r="A233">
        <v>702</v>
      </c>
      <c r="B233" t="s">
        <v>1833</v>
      </c>
      <c r="C233" t="s">
        <v>2668</v>
      </c>
      <c r="D233" t="s">
        <v>2392</v>
      </c>
      <c r="E233" t="s">
        <v>2112</v>
      </c>
      <c r="F233" t="s">
        <v>2945</v>
      </c>
      <c r="G233" t="s">
        <v>1275</v>
      </c>
      <c r="H233" t="s">
        <v>3374</v>
      </c>
      <c r="I233" t="s">
        <v>3117</v>
      </c>
      <c r="J233" t="s">
        <v>3446</v>
      </c>
      <c r="K233" s="6" t="s">
        <v>3682</v>
      </c>
      <c r="L233" s="5" t="s">
        <v>3682</v>
      </c>
      <c r="M233" t="s">
        <v>1555</v>
      </c>
      <c r="N233" t="s">
        <v>1555</v>
      </c>
      <c r="O233" t="s">
        <v>16</v>
      </c>
      <c r="P233" t="s">
        <v>39</v>
      </c>
      <c r="Q233" t="s">
        <v>460</v>
      </c>
      <c r="R233" t="s">
        <v>461</v>
      </c>
      <c r="S233" s="4">
        <v>4017951164177490</v>
      </c>
      <c r="T233" t="s">
        <v>119</v>
      </c>
      <c r="U233" s="1">
        <v>5339.87</v>
      </c>
      <c r="V233" s="1" t="s">
        <v>734</v>
      </c>
      <c r="W233" s="1" t="s">
        <v>1036</v>
      </c>
      <c r="X233" t="str">
        <f>IF(V233="","",VLOOKUP(V233,WMI!A:C,2,FALSE))</f>
        <v>United States</v>
      </c>
      <c r="Y233" t="str">
        <f>IF(V233="","",VLOOKUP(V233,WMI!A:C,3,FALSE))</f>
        <v>Nissan</v>
      </c>
      <c r="Z233">
        <f>IF(W233="","",VLOOKUP(W233,year!A:B,2,FALSE))</f>
        <v>2014</v>
      </c>
    </row>
    <row r="234" spans="1:26" x14ac:dyDescent="0.25">
      <c r="A234">
        <v>929</v>
      </c>
      <c r="B234" t="s">
        <v>1834</v>
      </c>
      <c r="C234" t="s">
        <v>2669</v>
      </c>
      <c r="D234" t="s">
        <v>2393</v>
      </c>
      <c r="E234" t="s">
        <v>2113</v>
      </c>
      <c r="F234" t="s">
        <v>2946</v>
      </c>
      <c r="G234" t="s">
        <v>1276</v>
      </c>
      <c r="H234" t="s">
        <v>3375</v>
      </c>
      <c r="I234" t="s">
        <v>3376</v>
      </c>
      <c r="J234" t="s">
        <v>3451</v>
      </c>
      <c r="K234" s="6" t="s">
        <v>3683</v>
      </c>
      <c r="L234" s="5" t="s">
        <v>3683</v>
      </c>
      <c r="M234" t="s">
        <v>1556</v>
      </c>
      <c r="N234" t="s">
        <v>1556</v>
      </c>
      <c r="O234" t="s">
        <v>16</v>
      </c>
      <c r="P234" t="s">
        <v>43</v>
      </c>
      <c r="Q234" t="s">
        <v>556</v>
      </c>
      <c r="R234" t="s">
        <v>557</v>
      </c>
      <c r="S234" s="4">
        <v>3544780658819070</v>
      </c>
      <c r="T234" t="s">
        <v>18</v>
      </c>
      <c r="U234" s="1">
        <v>5678.3</v>
      </c>
      <c r="V234" s="1" t="s">
        <v>734</v>
      </c>
      <c r="W234" s="1" t="s">
        <v>1036</v>
      </c>
      <c r="X234" t="str">
        <f>IF(V234="","",VLOOKUP(V234,WMI!A:C,2,FALSE))</f>
        <v>United States</v>
      </c>
      <c r="Y234" t="str">
        <f>IF(V234="","",VLOOKUP(V234,WMI!A:C,3,FALSE))</f>
        <v>Nissan</v>
      </c>
      <c r="Z234">
        <f>IF(W234="","",VLOOKUP(W234,year!A:B,2,FALSE))</f>
        <v>2014</v>
      </c>
    </row>
    <row r="235" spans="1:26" x14ac:dyDescent="0.25">
      <c r="A235">
        <v>709</v>
      </c>
      <c r="B235" t="s">
        <v>1835</v>
      </c>
      <c r="C235" t="s">
        <v>2670</v>
      </c>
      <c r="D235" t="s">
        <v>2394</v>
      </c>
      <c r="E235" t="s">
        <v>2114</v>
      </c>
      <c r="F235" t="s">
        <v>2947</v>
      </c>
      <c r="G235" t="s">
        <v>1277</v>
      </c>
      <c r="H235" t="s">
        <v>3377</v>
      </c>
      <c r="I235" t="s">
        <v>3342</v>
      </c>
      <c r="J235" t="s">
        <v>3446</v>
      </c>
      <c r="K235" s="6" t="s">
        <v>3684</v>
      </c>
      <c r="L235" s="5" t="s">
        <v>3684</v>
      </c>
      <c r="M235" t="s">
        <v>1557</v>
      </c>
      <c r="N235" t="s">
        <v>1557</v>
      </c>
      <c r="O235" t="s">
        <v>19</v>
      </c>
      <c r="P235" t="s">
        <v>421</v>
      </c>
      <c r="Q235" t="s">
        <v>463</v>
      </c>
      <c r="R235" t="s">
        <v>464</v>
      </c>
      <c r="S235" s="4">
        <v>3546435257921880</v>
      </c>
      <c r="T235" t="s">
        <v>18</v>
      </c>
      <c r="U235" s="1">
        <v>9782.56</v>
      </c>
      <c r="V235" s="1" t="s">
        <v>713</v>
      </c>
      <c r="W235" s="1" t="s">
        <v>1036</v>
      </c>
      <c r="X235" t="str">
        <f>IF(V235="","",VLOOKUP(V235,WMI!A:C,2,FALSE))</f>
        <v>United States</v>
      </c>
      <c r="Y235" t="str">
        <f>IF(V235="","",VLOOKUP(V235,WMI!A:C,3,FALSE))</f>
        <v>Volkswagen</v>
      </c>
      <c r="Z235">
        <f>IF(W235="","",VLOOKUP(W235,year!A:B,2,FALSE))</f>
        <v>2014</v>
      </c>
    </row>
    <row r="236" spans="1:26" x14ac:dyDescent="0.25">
      <c r="A236">
        <v>916</v>
      </c>
      <c r="B236" t="s">
        <v>1836</v>
      </c>
      <c r="C236" t="s">
        <v>2671</v>
      </c>
      <c r="D236" t="s">
        <v>2395</v>
      </c>
      <c r="E236" t="s">
        <v>2115</v>
      </c>
      <c r="F236" t="s">
        <v>2948</v>
      </c>
      <c r="G236" t="s">
        <v>1278</v>
      </c>
      <c r="H236" t="s">
        <v>3378</v>
      </c>
      <c r="I236" t="s">
        <v>3323</v>
      </c>
      <c r="J236" t="s">
        <v>3002</v>
      </c>
      <c r="K236" s="6" t="s">
        <v>3685</v>
      </c>
      <c r="L236" s="5" t="s">
        <v>3685</v>
      </c>
      <c r="M236" t="s">
        <v>1558</v>
      </c>
      <c r="N236" t="s">
        <v>1558</v>
      </c>
      <c r="O236" t="s">
        <v>19</v>
      </c>
      <c r="P236" t="s">
        <v>53</v>
      </c>
      <c r="Q236" t="s">
        <v>498</v>
      </c>
      <c r="R236" t="s">
        <v>549</v>
      </c>
      <c r="S236" s="4">
        <v>6.7091156385020396E+18</v>
      </c>
      <c r="T236" t="s">
        <v>41</v>
      </c>
      <c r="U236" s="1">
        <v>9877.2000000000007</v>
      </c>
      <c r="V236" s="1" t="s">
        <v>653</v>
      </c>
      <c r="W236" s="1" t="s">
        <v>1037</v>
      </c>
      <c r="X236" t="str">
        <f>IF(V236="","",VLOOKUP(V236,WMI!A:C,2,FALSE))</f>
        <v>France</v>
      </c>
      <c r="Y236" t="str">
        <f>IF(V236="","",VLOOKUP(V236,WMI!A:C,3,FALSE))</f>
        <v>Toyota</v>
      </c>
      <c r="Z236">
        <f>IF(W236="","",VLOOKUP(W236,year!A:B,2,FALSE))</f>
        <v>2015</v>
      </c>
    </row>
    <row r="237" spans="1:26" x14ac:dyDescent="0.25">
      <c r="A237">
        <v>361</v>
      </c>
      <c r="B237" t="s">
        <v>1837</v>
      </c>
      <c r="C237" t="s">
        <v>2672</v>
      </c>
      <c r="D237" t="s">
        <v>2396</v>
      </c>
      <c r="E237" t="s">
        <v>2116</v>
      </c>
      <c r="F237" t="s">
        <v>2949</v>
      </c>
      <c r="G237" t="s">
        <v>1279</v>
      </c>
      <c r="H237" t="s">
        <v>3379</v>
      </c>
      <c r="I237" t="s">
        <v>3066</v>
      </c>
      <c r="J237" t="s">
        <v>3451</v>
      </c>
      <c r="K237" s="6" t="s">
        <v>3686</v>
      </c>
      <c r="L237" s="5" t="s">
        <v>3686</v>
      </c>
      <c r="M237" t="s">
        <v>1559</v>
      </c>
      <c r="N237" t="s">
        <v>1559</v>
      </c>
      <c r="O237" t="s">
        <v>16</v>
      </c>
      <c r="P237" t="s">
        <v>39</v>
      </c>
      <c r="Q237" t="s">
        <v>304</v>
      </c>
      <c r="R237" t="s">
        <v>305</v>
      </c>
      <c r="S237" s="4">
        <v>6759523475952340</v>
      </c>
      <c r="T237" t="s">
        <v>29</v>
      </c>
      <c r="U237" s="1">
        <v>7569.48</v>
      </c>
      <c r="V237" s="1" t="s">
        <v>660</v>
      </c>
      <c r="W237" s="1" t="s">
        <v>1037</v>
      </c>
      <c r="X237" t="str">
        <f>IF(V237="","",VLOOKUP(V237,WMI!A:C,2,FALSE))</f>
        <v>Germany</v>
      </c>
      <c r="Y237" t="str">
        <f>IF(V237="","",VLOOKUP(V237,WMI!A:C,3,FALSE))</f>
        <v>Audi</v>
      </c>
      <c r="Z237">
        <f>IF(W237="","",VLOOKUP(W237,year!A:B,2,FALSE))</f>
        <v>2015</v>
      </c>
    </row>
    <row r="238" spans="1:26" x14ac:dyDescent="0.25">
      <c r="A238">
        <v>599</v>
      </c>
      <c r="B238" t="s">
        <v>1838</v>
      </c>
      <c r="C238" t="s">
        <v>2673</v>
      </c>
      <c r="D238" t="s">
        <v>2397</v>
      </c>
      <c r="E238" t="s">
        <v>2117</v>
      </c>
      <c r="F238" t="s">
        <v>2950</v>
      </c>
      <c r="G238" t="s">
        <v>1280</v>
      </c>
      <c r="H238" t="s">
        <v>3380</v>
      </c>
      <c r="I238" t="s">
        <v>3004</v>
      </c>
      <c r="J238" t="s">
        <v>3457</v>
      </c>
      <c r="K238" s="6" t="s">
        <v>3515</v>
      </c>
      <c r="L238" s="5" t="s">
        <v>3515</v>
      </c>
      <c r="M238" t="s">
        <v>1560</v>
      </c>
      <c r="N238" t="s">
        <v>1560</v>
      </c>
      <c r="O238" t="s">
        <v>16</v>
      </c>
      <c r="P238" t="s">
        <v>49</v>
      </c>
      <c r="Q238" t="s">
        <v>236</v>
      </c>
      <c r="R238" t="s">
        <v>415</v>
      </c>
      <c r="S238" s="4">
        <v>4041372495246080</v>
      </c>
      <c r="T238" t="s">
        <v>119</v>
      </c>
      <c r="U238" s="1">
        <v>7280.03</v>
      </c>
      <c r="V238" s="1" t="s">
        <v>660</v>
      </c>
      <c r="W238" s="1" t="s">
        <v>1037</v>
      </c>
      <c r="X238" t="str">
        <f>IF(V238="","",VLOOKUP(V238,WMI!A:C,2,FALSE))</f>
        <v>Germany</v>
      </c>
      <c r="Y238" t="str">
        <f>IF(V238="","",VLOOKUP(V238,WMI!A:C,3,FALSE))</f>
        <v>Audi</v>
      </c>
      <c r="Z238">
        <f>IF(W238="","",VLOOKUP(W238,year!A:B,2,FALSE))</f>
        <v>2015</v>
      </c>
    </row>
    <row r="239" spans="1:26" x14ac:dyDescent="0.25">
      <c r="A239">
        <v>646</v>
      </c>
      <c r="B239" t="s">
        <v>1839</v>
      </c>
      <c r="C239" t="s">
        <v>2674</v>
      </c>
      <c r="D239" t="s">
        <v>2398</v>
      </c>
      <c r="E239" t="s">
        <v>2118</v>
      </c>
      <c r="F239" t="s">
        <v>2951</v>
      </c>
      <c r="G239" t="s">
        <v>1281</v>
      </c>
      <c r="H239" t="s">
        <v>3381</v>
      </c>
      <c r="I239" t="s">
        <v>3342</v>
      </c>
      <c r="J239" t="s">
        <v>3446</v>
      </c>
      <c r="K239" s="6" t="s">
        <v>3687</v>
      </c>
      <c r="L239" s="5" t="s">
        <v>3687</v>
      </c>
      <c r="M239" t="s">
        <v>1561</v>
      </c>
      <c r="N239" t="s">
        <v>1561</v>
      </c>
      <c r="O239" t="s">
        <v>19</v>
      </c>
      <c r="P239" t="s">
        <v>30</v>
      </c>
      <c r="Q239">
        <v>928</v>
      </c>
      <c r="R239" t="s">
        <v>433</v>
      </c>
      <c r="S239" s="4">
        <v>4041370240574</v>
      </c>
      <c r="T239" t="s">
        <v>119</v>
      </c>
      <c r="U239" s="1">
        <v>6508.92</v>
      </c>
      <c r="V239" s="1" t="s">
        <v>660</v>
      </c>
      <c r="W239" s="1" t="s">
        <v>1037</v>
      </c>
      <c r="X239" t="str">
        <f>IF(V239="","",VLOOKUP(V239,WMI!A:C,2,FALSE))</f>
        <v>Germany</v>
      </c>
      <c r="Y239" t="str">
        <f>IF(V239="","",VLOOKUP(V239,WMI!A:C,3,FALSE))</f>
        <v>Audi</v>
      </c>
      <c r="Z239">
        <f>IF(W239="","",VLOOKUP(W239,year!A:B,2,FALSE))</f>
        <v>2015</v>
      </c>
    </row>
    <row r="240" spans="1:26" x14ac:dyDescent="0.25">
      <c r="A240">
        <v>12</v>
      </c>
      <c r="B240" t="s">
        <v>1840</v>
      </c>
      <c r="C240" t="s">
        <v>2675</v>
      </c>
      <c r="D240" t="s">
        <v>2399</v>
      </c>
      <c r="E240" t="s">
        <v>2119</v>
      </c>
      <c r="F240" t="s">
        <v>2952</v>
      </c>
      <c r="G240" t="s">
        <v>1282</v>
      </c>
      <c r="H240" t="s">
        <v>3382</v>
      </c>
      <c r="I240" t="s">
        <v>3383</v>
      </c>
      <c r="J240" t="s">
        <v>3455</v>
      </c>
      <c r="K240" s="6" t="s">
        <v>3688</v>
      </c>
      <c r="L240" s="5" t="s">
        <v>3688</v>
      </c>
      <c r="M240" t="s">
        <v>1562</v>
      </c>
      <c r="N240" t="s">
        <v>1562</v>
      </c>
      <c r="O240" t="s">
        <v>19</v>
      </c>
      <c r="P240" t="s">
        <v>43</v>
      </c>
      <c r="Q240" t="s">
        <v>44</v>
      </c>
      <c r="R240" t="s">
        <v>45</v>
      </c>
      <c r="S240" s="4">
        <v>3553482773091630</v>
      </c>
      <c r="T240" t="s">
        <v>18</v>
      </c>
      <c r="U240" s="1">
        <v>9667.0499999999993</v>
      </c>
      <c r="V240" s="1" t="s">
        <v>661</v>
      </c>
      <c r="W240" s="1" t="s">
        <v>1037</v>
      </c>
      <c r="X240" t="str">
        <f>IF(V240="","",VLOOKUP(V240,WMI!A:C,2,FALSE))</f>
        <v>Germany</v>
      </c>
      <c r="Y240" t="str">
        <f>IF(V240="","",VLOOKUP(V240,WMI!A:C,3,FALSE))</f>
        <v>BMW</v>
      </c>
      <c r="Z240">
        <f>IF(W240="","",VLOOKUP(W240,year!A:B,2,FALSE))</f>
        <v>2015</v>
      </c>
    </row>
    <row r="241" spans="1:26" x14ac:dyDescent="0.25">
      <c r="A241">
        <v>225</v>
      </c>
      <c r="B241" t="s">
        <v>1841</v>
      </c>
      <c r="C241" t="s">
        <v>2676</v>
      </c>
      <c r="D241" t="s">
        <v>2400</v>
      </c>
      <c r="E241" t="s">
        <v>2120</v>
      </c>
      <c r="F241" t="s">
        <v>2953</v>
      </c>
      <c r="G241" t="s">
        <v>1283</v>
      </c>
      <c r="H241" t="s">
        <v>3384</v>
      </c>
      <c r="I241" t="s">
        <v>3053</v>
      </c>
      <c r="J241" t="s">
        <v>3448</v>
      </c>
      <c r="K241" s="6" t="s">
        <v>3689</v>
      </c>
      <c r="L241" s="5" t="s">
        <v>3689</v>
      </c>
      <c r="M241" t="s">
        <v>1563</v>
      </c>
      <c r="N241" t="s">
        <v>1563</v>
      </c>
      <c r="O241" t="s">
        <v>16</v>
      </c>
      <c r="P241" t="s">
        <v>43</v>
      </c>
      <c r="Q241" t="s">
        <v>160</v>
      </c>
      <c r="R241" t="s">
        <v>231</v>
      </c>
      <c r="S241" s="4">
        <v>3587805435541070</v>
      </c>
      <c r="T241" t="s">
        <v>18</v>
      </c>
      <c r="U241" s="1">
        <v>6533.39</v>
      </c>
      <c r="V241" s="1" t="s">
        <v>661</v>
      </c>
      <c r="W241" s="1" t="s">
        <v>1037</v>
      </c>
      <c r="X241" t="str">
        <f>IF(V241="","",VLOOKUP(V241,WMI!A:C,2,FALSE))</f>
        <v>Germany</v>
      </c>
      <c r="Y241" t="str">
        <f>IF(V241="","",VLOOKUP(V241,WMI!A:C,3,FALSE))</f>
        <v>BMW</v>
      </c>
      <c r="Z241">
        <f>IF(W241="","",VLOOKUP(W241,year!A:B,2,FALSE))</f>
        <v>2015</v>
      </c>
    </row>
    <row r="242" spans="1:26" x14ac:dyDescent="0.25">
      <c r="A242">
        <v>397</v>
      </c>
      <c r="B242" t="s">
        <v>1842</v>
      </c>
      <c r="C242" t="s">
        <v>2677</v>
      </c>
      <c r="D242" t="s">
        <v>2401</v>
      </c>
      <c r="E242" t="s">
        <v>2121</v>
      </c>
      <c r="F242" t="s">
        <v>2954</v>
      </c>
      <c r="G242" t="s">
        <v>1284</v>
      </c>
      <c r="H242" t="s">
        <v>3385</v>
      </c>
      <c r="I242" t="s">
        <v>3157</v>
      </c>
      <c r="J242" t="s">
        <v>3439</v>
      </c>
      <c r="K242" s="6" t="s">
        <v>3690</v>
      </c>
      <c r="L242" s="5" t="s">
        <v>3690</v>
      </c>
      <c r="M242" t="s">
        <v>1564</v>
      </c>
      <c r="N242" t="s">
        <v>1564</v>
      </c>
      <c r="O242" t="s">
        <v>16</v>
      </c>
      <c r="P242" t="s">
        <v>107</v>
      </c>
      <c r="Q242" t="s">
        <v>321</v>
      </c>
      <c r="R242" t="s">
        <v>323</v>
      </c>
      <c r="S242" s="4">
        <v>30357875321869</v>
      </c>
      <c r="T242" t="s">
        <v>46</v>
      </c>
      <c r="U242" s="1">
        <v>9996.4500000000007</v>
      </c>
      <c r="V242" s="1" t="s">
        <v>661</v>
      </c>
      <c r="W242" s="1" t="s">
        <v>1037</v>
      </c>
      <c r="X242" t="str">
        <f>IF(V242="","",VLOOKUP(V242,WMI!A:C,2,FALSE))</f>
        <v>Germany</v>
      </c>
      <c r="Y242" t="str">
        <f>IF(V242="","",VLOOKUP(V242,WMI!A:C,3,FALSE))</f>
        <v>BMW</v>
      </c>
      <c r="Z242">
        <f>IF(W242="","",VLOOKUP(W242,year!A:B,2,FALSE))</f>
        <v>2015</v>
      </c>
    </row>
    <row r="243" spans="1:26" x14ac:dyDescent="0.25">
      <c r="A243">
        <v>401</v>
      </c>
      <c r="B243" t="s">
        <v>1843</v>
      </c>
      <c r="C243" t="s">
        <v>2678</v>
      </c>
      <c r="D243" t="s">
        <v>2402</v>
      </c>
      <c r="E243" t="s">
        <v>2122</v>
      </c>
      <c r="F243" t="s">
        <v>2955</v>
      </c>
      <c r="G243" t="s">
        <v>1285</v>
      </c>
      <c r="H243" t="s">
        <v>3386</v>
      </c>
      <c r="I243" t="s">
        <v>3078</v>
      </c>
      <c r="J243" t="s">
        <v>3440</v>
      </c>
      <c r="K243" s="6" t="s">
        <v>3691</v>
      </c>
      <c r="L243" s="5" t="s">
        <v>3691</v>
      </c>
      <c r="M243" t="s">
        <v>1565</v>
      </c>
      <c r="N243" t="s">
        <v>1565</v>
      </c>
      <c r="O243" t="s">
        <v>19</v>
      </c>
      <c r="P243" t="s">
        <v>100</v>
      </c>
      <c r="Q243" t="s">
        <v>324</v>
      </c>
      <c r="R243" t="s">
        <v>325</v>
      </c>
      <c r="S243" s="4">
        <v>5602219158138880</v>
      </c>
      <c r="T243" t="s">
        <v>93</v>
      </c>
      <c r="U243" s="1">
        <v>5187.8</v>
      </c>
      <c r="V243" s="1" t="s">
        <v>661</v>
      </c>
      <c r="W243" s="1" t="s">
        <v>1037</v>
      </c>
      <c r="X243" t="str">
        <f>IF(V243="","",VLOOKUP(V243,WMI!A:C,2,FALSE))</f>
        <v>Germany</v>
      </c>
      <c r="Y243" t="str">
        <f>IF(V243="","",VLOOKUP(V243,WMI!A:C,3,FALSE))</f>
        <v>BMW</v>
      </c>
      <c r="Z243">
        <f>IF(W243="","",VLOOKUP(W243,year!A:B,2,FALSE))</f>
        <v>2015</v>
      </c>
    </row>
    <row r="244" spans="1:26" x14ac:dyDescent="0.25">
      <c r="A244">
        <v>460</v>
      </c>
      <c r="B244" t="s">
        <v>1844</v>
      </c>
      <c r="C244" t="s">
        <v>2679</v>
      </c>
      <c r="D244" t="s">
        <v>2403</v>
      </c>
      <c r="E244" t="s">
        <v>2123</v>
      </c>
      <c r="F244" t="s">
        <v>2956</v>
      </c>
      <c r="G244" t="s">
        <v>1286</v>
      </c>
      <c r="H244" t="s">
        <v>3387</v>
      </c>
      <c r="I244" t="s">
        <v>3306</v>
      </c>
      <c r="J244" t="s">
        <v>3445</v>
      </c>
      <c r="K244" s="6" t="s">
        <v>3692</v>
      </c>
      <c r="L244" s="5" t="s">
        <v>3692</v>
      </c>
      <c r="M244" t="s">
        <v>1566</v>
      </c>
      <c r="N244" t="s">
        <v>1566</v>
      </c>
      <c r="O244" t="s">
        <v>19</v>
      </c>
      <c r="P244" t="s">
        <v>49</v>
      </c>
      <c r="Q244" t="s">
        <v>103</v>
      </c>
      <c r="R244" t="s">
        <v>355</v>
      </c>
      <c r="S244" s="4">
        <v>3548052774006280</v>
      </c>
      <c r="T244" t="s">
        <v>18</v>
      </c>
      <c r="U244" s="1">
        <v>9626.98</v>
      </c>
      <c r="V244" s="1" t="s">
        <v>661</v>
      </c>
      <c r="W244" s="1" t="s">
        <v>1037</v>
      </c>
      <c r="X244" t="str">
        <f>IF(V244="","",VLOOKUP(V244,WMI!A:C,2,FALSE))</f>
        <v>Germany</v>
      </c>
      <c r="Y244" t="str">
        <f>IF(V244="","",VLOOKUP(V244,WMI!A:C,3,FALSE))</f>
        <v>BMW</v>
      </c>
      <c r="Z244">
        <f>IF(W244="","",VLOOKUP(W244,year!A:B,2,FALSE))</f>
        <v>2015</v>
      </c>
    </row>
    <row r="245" spans="1:26" x14ac:dyDescent="0.25">
      <c r="A245">
        <v>582</v>
      </c>
      <c r="B245" t="s">
        <v>1845</v>
      </c>
      <c r="C245" t="s">
        <v>2680</v>
      </c>
      <c r="D245" t="s">
        <v>2404</v>
      </c>
      <c r="E245" t="s">
        <v>2124</v>
      </c>
      <c r="F245" t="s">
        <v>2957</v>
      </c>
      <c r="G245" t="s">
        <v>1287</v>
      </c>
      <c r="H245" t="s">
        <v>3388</v>
      </c>
      <c r="I245" t="s">
        <v>3389</v>
      </c>
      <c r="J245" t="s">
        <v>3440</v>
      </c>
      <c r="K245" s="6" t="s">
        <v>3693</v>
      </c>
      <c r="L245" s="5" t="s">
        <v>3693</v>
      </c>
      <c r="M245" t="s">
        <v>1567</v>
      </c>
      <c r="N245" t="s">
        <v>1567</v>
      </c>
      <c r="O245" t="s">
        <v>19</v>
      </c>
      <c r="P245" t="s">
        <v>147</v>
      </c>
      <c r="Q245" t="s">
        <v>398</v>
      </c>
      <c r="R245" t="s">
        <v>406</v>
      </c>
      <c r="S245" s="4">
        <v>5610424075253740</v>
      </c>
      <c r="T245" t="s">
        <v>93</v>
      </c>
      <c r="U245" s="1">
        <v>8235.4599999999991</v>
      </c>
      <c r="V245" s="1" t="s">
        <v>661</v>
      </c>
      <c r="W245" s="1" t="s">
        <v>1037</v>
      </c>
      <c r="X245" t="str">
        <f>IF(V245="","",VLOOKUP(V245,WMI!A:C,2,FALSE))</f>
        <v>Germany</v>
      </c>
      <c r="Y245" t="str">
        <f>IF(V245="","",VLOOKUP(V245,WMI!A:C,3,FALSE))</f>
        <v>BMW</v>
      </c>
      <c r="Z245">
        <f>IF(W245="","",VLOOKUP(W245,year!A:B,2,FALSE))</f>
        <v>2015</v>
      </c>
    </row>
    <row r="246" spans="1:26" x14ac:dyDescent="0.25">
      <c r="A246">
        <v>584</v>
      </c>
      <c r="B246" t="s">
        <v>1846</v>
      </c>
      <c r="C246" t="s">
        <v>2681</v>
      </c>
      <c r="D246" t="s">
        <v>2405</v>
      </c>
      <c r="E246" t="s">
        <v>2125</v>
      </c>
      <c r="F246" t="s">
        <v>2958</v>
      </c>
      <c r="G246" t="s">
        <v>1288</v>
      </c>
      <c r="H246" t="s">
        <v>3390</v>
      </c>
      <c r="I246" t="s">
        <v>3371</v>
      </c>
      <c r="J246" t="s">
        <v>3439</v>
      </c>
      <c r="K246" s="6" t="s">
        <v>3694</v>
      </c>
      <c r="L246" s="5" t="s">
        <v>3694</v>
      </c>
      <c r="M246" t="s">
        <v>1568</v>
      </c>
      <c r="N246" t="s">
        <v>1568</v>
      </c>
      <c r="O246" t="s">
        <v>16</v>
      </c>
      <c r="P246" t="s">
        <v>208</v>
      </c>
      <c r="Q246" t="s">
        <v>209</v>
      </c>
      <c r="R246" t="s">
        <v>408</v>
      </c>
      <c r="S246" s="4">
        <v>3555256887578860</v>
      </c>
      <c r="T246" t="s">
        <v>18</v>
      </c>
      <c r="U246" s="1">
        <v>6118.82</v>
      </c>
      <c r="V246" s="1" t="s">
        <v>661</v>
      </c>
      <c r="W246" s="1" t="s">
        <v>1037</v>
      </c>
      <c r="X246" t="str">
        <f>IF(V246="","",VLOOKUP(V246,WMI!A:C,2,FALSE))</f>
        <v>Germany</v>
      </c>
      <c r="Y246" t="str">
        <f>IF(V246="","",VLOOKUP(V246,WMI!A:C,3,FALSE))</f>
        <v>BMW</v>
      </c>
      <c r="Z246">
        <f>IF(W246="","",VLOOKUP(W246,year!A:B,2,FALSE))</f>
        <v>2015</v>
      </c>
    </row>
    <row r="247" spans="1:26" x14ac:dyDescent="0.25">
      <c r="A247">
        <v>777</v>
      </c>
      <c r="B247" t="s">
        <v>1847</v>
      </c>
      <c r="C247" t="s">
        <v>2682</v>
      </c>
      <c r="D247" t="s">
        <v>2406</v>
      </c>
      <c r="E247" t="s">
        <v>2126</v>
      </c>
      <c r="F247" t="s">
        <v>2959</v>
      </c>
      <c r="G247" t="s">
        <v>1289</v>
      </c>
      <c r="H247" t="s">
        <v>3391</v>
      </c>
      <c r="I247" t="s">
        <v>3392</v>
      </c>
      <c r="J247" t="s">
        <v>3004</v>
      </c>
      <c r="K247" s="6" t="s">
        <v>3695</v>
      </c>
      <c r="L247" s="5" t="s">
        <v>3695</v>
      </c>
      <c r="M247" t="s">
        <v>1569</v>
      </c>
      <c r="N247" t="s">
        <v>1569</v>
      </c>
      <c r="O247" t="s">
        <v>16</v>
      </c>
      <c r="P247" t="s">
        <v>147</v>
      </c>
      <c r="Q247" t="s">
        <v>398</v>
      </c>
      <c r="R247" t="s">
        <v>491</v>
      </c>
      <c r="S247" s="4">
        <v>6761244208218030</v>
      </c>
      <c r="T247" t="s">
        <v>82</v>
      </c>
      <c r="U247" s="1">
        <v>7575.79</v>
      </c>
      <c r="V247" s="1" t="s">
        <v>661</v>
      </c>
      <c r="W247" s="1" t="s">
        <v>1037</v>
      </c>
      <c r="X247" t="str">
        <f>IF(V247="","",VLOOKUP(V247,WMI!A:C,2,FALSE))</f>
        <v>Germany</v>
      </c>
      <c r="Y247" t="str">
        <f>IF(V247="","",VLOOKUP(V247,WMI!A:C,3,FALSE))</f>
        <v>BMW</v>
      </c>
      <c r="Z247">
        <f>IF(W247="","",VLOOKUP(W247,year!A:B,2,FALSE))</f>
        <v>2015</v>
      </c>
    </row>
    <row r="248" spans="1:26" x14ac:dyDescent="0.25">
      <c r="A248">
        <v>794</v>
      </c>
      <c r="B248" t="s">
        <v>1848</v>
      </c>
      <c r="C248" t="s">
        <v>2683</v>
      </c>
      <c r="D248" t="s">
        <v>2407</v>
      </c>
      <c r="E248" t="s">
        <v>2127</v>
      </c>
      <c r="F248" t="s">
        <v>2960</v>
      </c>
      <c r="G248" t="s">
        <v>1290</v>
      </c>
      <c r="H248" t="s">
        <v>3393</v>
      </c>
      <c r="I248" t="s">
        <v>3060</v>
      </c>
      <c r="J248" t="s">
        <v>3450</v>
      </c>
      <c r="K248" s="6" t="s">
        <v>3547</v>
      </c>
      <c r="L248" s="5" t="s">
        <v>3547</v>
      </c>
      <c r="M248" t="s">
        <v>1570</v>
      </c>
      <c r="N248" t="s">
        <v>1570</v>
      </c>
      <c r="O248" t="s">
        <v>16</v>
      </c>
      <c r="P248" t="s">
        <v>107</v>
      </c>
      <c r="Q248" t="s">
        <v>159</v>
      </c>
      <c r="R248" t="s">
        <v>501</v>
      </c>
      <c r="S248" s="4">
        <v>6391886291765430</v>
      </c>
      <c r="T248" t="s">
        <v>171</v>
      </c>
      <c r="U248" s="1">
        <v>5146.8999999999996</v>
      </c>
      <c r="V248" s="1" t="s">
        <v>661</v>
      </c>
      <c r="W248" s="1" t="s">
        <v>1037</v>
      </c>
      <c r="X248" t="str">
        <f>IF(V248="","",VLOOKUP(V248,WMI!A:C,2,FALSE))</f>
        <v>Germany</v>
      </c>
      <c r="Y248" t="str">
        <f>IF(V248="","",VLOOKUP(V248,WMI!A:C,3,FALSE))</f>
        <v>BMW</v>
      </c>
      <c r="Z248">
        <f>IF(W248="","",VLOOKUP(W248,year!A:B,2,FALSE))</f>
        <v>2015</v>
      </c>
    </row>
    <row r="249" spans="1:26" x14ac:dyDescent="0.25">
      <c r="A249">
        <v>867</v>
      </c>
      <c r="B249" t="s">
        <v>1849</v>
      </c>
      <c r="C249" t="s">
        <v>2684</v>
      </c>
      <c r="D249" t="s">
        <v>2408</v>
      </c>
      <c r="E249" t="s">
        <v>2128</v>
      </c>
      <c r="F249" t="s">
        <v>2961</v>
      </c>
      <c r="G249" t="s">
        <v>1291</v>
      </c>
      <c r="H249" t="s">
        <v>3394</v>
      </c>
      <c r="I249" t="s">
        <v>3342</v>
      </c>
      <c r="J249" t="s">
        <v>3446</v>
      </c>
      <c r="K249" s="6" t="s">
        <v>3696</v>
      </c>
      <c r="L249" s="5" t="s">
        <v>3696</v>
      </c>
      <c r="M249" t="s">
        <v>1571</v>
      </c>
      <c r="N249" t="s">
        <v>1571</v>
      </c>
      <c r="O249" t="s">
        <v>19</v>
      </c>
      <c r="P249" t="s">
        <v>17</v>
      </c>
      <c r="Q249" t="s">
        <v>525</v>
      </c>
      <c r="R249" t="s">
        <v>526</v>
      </c>
      <c r="S249" s="4">
        <v>3557637466557690</v>
      </c>
      <c r="T249" t="s">
        <v>18</v>
      </c>
      <c r="U249" s="1">
        <v>5967.41</v>
      </c>
      <c r="V249" s="1" t="s">
        <v>661</v>
      </c>
      <c r="W249" s="1" t="s">
        <v>1037</v>
      </c>
      <c r="X249" t="str">
        <f>IF(V249="","",VLOOKUP(V249,WMI!A:C,2,FALSE))</f>
        <v>Germany</v>
      </c>
      <c r="Y249" t="str">
        <f>IF(V249="","",VLOOKUP(V249,WMI!A:C,3,FALSE))</f>
        <v>BMW</v>
      </c>
      <c r="Z249">
        <f>IF(W249="","",VLOOKUP(W249,year!A:B,2,FALSE))</f>
        <v>2015</v>
      </c>
    </row>
    <row r="250" spans="1:26" x14ac:dyDescent="0.25">
      <c r="A250">
        <v>879</v>
      </c>
      <c r="B250" t="s">
        <v>1850</v>
      </c>
      <c r="C250" t="s">
        <v>2685</v>
      </c>
      <c r="D250" t="s">
        <v>2409</v>
      </c>
      <c r="E250" t="s">
        <v>2129</v>
      </c>
      <c r="F250" t="s">
        <v>2962</v>
      </c>
      <c r="G250" t="s">
        <v>1292</v>
      </c>
      <c r="H250" t="s">
        <v>3395</v>
      </c>
      <c r="I250" t="s">
        <v>3264</v>
      </c>
      <c r="J250" t="s">
        <v>3446</v>
      </c>
      <c r="K250" s="6" t="s">
        <v>3697</v>
      </c>
      <c r="L250" s="5" t="s">
        <v>3697</v>
      </c>
      <c r="M250" t="s">
        <v>1572</v>
      </c>
      <c r="N250" t="s">
        <v>1572</v>
      </c>
      <c r="O250" t="s">
        <v>16</v>
      </c>
      <c r="P250" t="s">
        <v>529</v>
      </c>
      <c r="Q250" t="s">
        <v>530</v>
      </c>
      <c r="R250" t="s">
        <v>531</v>
      </c>
      <c r="S250" s="4">
        <v>3532507768662590</v>
      </c>
      <c r="T250" t="s">
        <v>18</v>
      </c>
      <c r="U250" s="1">
        <v>8747.83</v>
      </c>
      <c r="V250" s="1" t="s">
        <v>661</v>
      </c>
      <c r="W250" s="1" t="s">
        <v>1037</v>
      </c>
      <c r="X250" t="str">
        <f>IF(V250="","",VLOOKUP(V250,WMI!A:C,2,FALSE))</f>
        <v>Germany</v>
      </c>
      <c r="Y250" t="str">
        <f>IF(V250="","",VLOOKUP(V250,WMI!A:C,3,FALSE))</f>
        <v>BMW</v>
      </c>
      <c r="Z250">
        <f>IF(W250="","",VLOOKUP(W250,year!A:B,2,FALSE))</f>
        <v>2015</v>
      </c>
    </row>
    <row r="251" spans="1:26" x14ac:dyDescent="0.25">
      <c r="A251">
        <v>925</v>
      </c>
      <c r="B251" t="s">
        <v>1851</v>
      </c>
      <c r="C251" t="s">
        <v>2686</v>
      </c>
      <c r="D251" t="s">
        <v>2410</v>
      </c>
      <c r="E251" t="s">
        <v>2130</v>
      </c>
      <c r="F251" t="s">
        <v>2963</v>
      </c>
      <c r="G251" t="s">
        <v>1293</v>
      </c>
      <c r="H251" t="s">
        <v>3396</v>
      </c>
      <c r="I251" t="s">
        <v>3397</v>
      </c>
      <c r="J251" t="s">
        <v>3441</v>
      </c>
      <c r="K251" s="6" t="s">
        <v>3698</v>
      </c>
      <c r="L251" s="5" t="s">
        <v>3698</v>
      </c>
      <c r="M251" t="s">
        <v>1573</v>
      </c>
      <c r="N251" t="s">
        <v>1573</v>
      </c>
      <c r="O251" t="s">
        <v>16</v>
      </c>
      <c r="P251" t="s">
        <v>107</v>
      </c>
      <c r="Q251" t="s">
        <v>258</v>
      </c>
      <c r="R251" t="s">
        <v>555</v>
      </c>
      <c r="S251" s="4">
        <v>6.33489243215121E+18</v>
      </c>
      <c r="T251" t="s">
        <v>140</v>
      </c>
      <c r="U251" s="1">
        <v>5741.1</v>
      </c>
      <c r="V251" s="1" t="s">
        <v>661</v>
      </c>
      <c r="W251" s="1" t="s">
        <v>1037</v>
      </c>
      <c r="X251" t="str">
        <f>IF(V251="","",VLOOKUP(V251,WMI!A:C,2,FALSE))</f>
        <v>Germany</v>
      </c>
      <c r="Y251" t="str">
        <f>IF(V251="","",VLOOKUP(V251,WMI!A:C,3,FALSE))</f>
        <v>BMW</v>
      </c>
      <c r="Z251">
        <f>IF(W251="","",VLOOKUP(W251,year!A:B,2,FALSE))</f>
        <v>2015</v>
      </c>
    </row>
    <row r="252" spans="1:26" x14ac:dyDescent="0.25">
      <c r="A252">
        <v>979</v>
      </c>
      <c r="B252" t="s">
        <v>1852</v>
      </c>
      <c r="C252" t="s">
        <v>2687</v>
      </c>
      <c r="D252" t="s">
        <v>2411</v>
      </c>
      <c r="E252" t="s">
        <v>2131</v>
      </c>
      <c r="F252" t="s">
        <v>2964</v>
      </c>
      <c r="G252" t="s">
        <v>1294</v>
      </c>
      <c r="H252" t="s">
        <v>3398</v>
      </c>
      <c r="I252" t="s">
        <v>3074</v>
      </c>
      <c r="J252" t="s">
        <v>3445</v>
      </c>
      <c r="K252" s="6" t="s">
        <v>3699</v>
      </c>
      <c r="L252" s="5" t="s">
        <v>3699</v>
      </c>
      <c r="M252" t="s">
        <v>1574</v>
      </c>
      <c r="N252" t="s">
        <v>1574</v>
      </c>
      <c r="O252" t="s">
        <v>19</v>
      </c>
      <c r="P252" t="s">
        <v>60</v>
      </c>
      <c r="Q252" t="s">
        <v>571</v>
      </c>
      <c r="R252" t="s">
        <v>572</v>
      </c>
      <c r="S252" s="4">
        <v>5602236253426930</v>
      </c>
      <c r="T252" t="s">
        <v>93</v>
      </c>
      <c r="U252" s="1">
        <v>9360.8799999999992</v>
      </c>
      <c r="V252" s="1" t="s">
        <v>661</v>
      </c>
      <c r="W252" s="1" t="s">
        <v>1037</v>
      </c>
      <c r="X252" t="str">
        <f>IF(V252="","",VLOOKUP(V252,WMI!A:C,2,FALSE))</f>
        <v>Germany</v>
      </c>
      <c r="Y252" t="str">
        <f>IF(V252="","",VLOOKUP(V252,WMI!A:C,3,FALSE))</f>
        <v>BMW</v>
      </c>
      <c r="Z252">
        <f>IF(W252="","",VLOOKUP(W252,year!A:B,2,FALSE))</f>
        <v>2015</v>
      </c>
    </row>
    <row r="253" spans="1:26" x14ac:dyDescent="0.25">
      <c r="A253">
        <v>729</v>
      </c>
      <c r="B253" t="s">
        <v>1853</v>
      </c>
      <c r="C253" t="s">
        <v>2688</v>
      </c>
      <c r="D253" t="s">
        <v>2412</v>
      </c>
      <c r="E253" t="s">
        <v>2132</v>
      </c>
      <c r="F253" t="s">
        <v>2965</v>
      </c>
      <c r="G253" t="s">
        <v>1295</v>
      </c>
      <c r="H253" t="s">
        <v>3399</v>
      </c>
      <c r="I253" t="s">
        <v>3400</v>
      </c>
      <c r="J253" t="s">
        <v>3446</v>
      </c>
      <c r="K253" s="6" t="s">
        <v>3700</v>
      </c>
      <c r="L253" s="5" t="s">
        <v>3700</v>
      </c>
      <c r="M253" t="s">
        <v>1575</v>
      </c>
      <c r="N253" t="s">
        <v>1575</v>
      </c>
      <c r="O253" t="s">
        <v>16</v>
      </c>
      <c r="P253" t="s">
        <v>39</v>
      </c>
      <c r="Q253" t="s">
        <v>470</v>
      </c>
      <c r="R253" t="s">
        <v>471</v>
      </c>
      <c r="S253" s="4">
        <v>30158198871436</v>
      </c>
      <c r="T253" t="s">
        <v>46</v>
      </c>
      <c r="U253" s="1">
        <v>6200.47</v>
      </c>
      <c r="V253" s="1" t="s">
        <v>666</v>
      </c>
      <c r="W253" s="1" t="s">
        <v>1037</v>
      </c>
      <c r="X253" t="str">
        <f>IF(V253="","",VLOOKUP(V253,WMI!A:C,2,FALSE))</f>
        <v>Germany</v>
      </c>
      <c r="Y253" t="str">
        <f>IF(V253="","",VLOOKUP(V253,WMI!A:C,3,FALSE))</f>
        <v>DaimlerChrysler AG/Daimler AG</v>
      </c>
      <c r="Z253">
        <f>IF(W253="","",VLOOKUP(W253,year!A:B,2,FALSE))</f>
        <v>2015</v>
      </c>
    </row>
    <row r="254" spans="1:26" x14ac:dyDescent="0.25">
      <c r="A254">
        <v>451</v>
      </c>
      <c r="B254" t="s">
        <v>1854</v>
      </c>
      <c r="C254" t="s">
        <v>2689</v>
      </c>
      <c r="D254" t="s">
        <v>2413</v>
      </c>
      <c r="E254" t="s">
        <v>2133</v>
      </c>
      <c r="F254" t="s">
        <v>2966</v>
      </c>
      <c r="G254" t="s">
        <v>1296</v>
      </c>
      <c r="H254" t="s">
        <v>3401</v>
      </c>
      <c r="I254" t="s">
        <v>3402</v>
      </c>
      <c r="J254" t="s">
        <v>3466</v>
      </c>
      <c r="K254" s="6" t="s">
        <v>3701</v>
      </c>
      <c r="L254" s="5" t="s">
        <v>3701</v>
      </c>
      <c r="M254" t="s">
        <v>1576</v>
      </c>
      <c r="N254" t="s">
        <v>1576</v>
      </c>
      <c r="O254" t="s">
        <v>16</v>
      </c>
      <c r="P254" t="s">
        <v>74</v>
      </c>
      <c r="Q254" t="s">
        <v>196</v>
      </c>
      <c r="R254" t="s">
        <v>353</v>
      </c>
      <c r="S254" s="4">
        <v>3588060775803810</v>
      </c>
      <c r="T254" t="s">
        <v>18</v>
      </c>
      <c r="U254" s="1">
        <v>7570.86</v>
      </c>
      <c r="V254" s="1" t="s">
        <v>675</v>
      </c>
      <c r="W254" s="1" t="s">
        <v>1037</v>
      </c>
      <c r="X254" t="str">
        <f>IF(V254="","",VLOOKUP(V254,WMI!A:C,2,FALSE))</f>
        <v>Germany</v>
      </c>
      <c r="Y254" t="str">
        <f>IF(V254="","",VLOOKUP(V254,WMI!A:C,3,FALSE))</f>
        <v>Porsche car</v>
      </c>
      <c r="Z254">
        <f>IF(W254="","",VLOOKUP(W254,year!A:B,2,FALSE))</f>
        <v>2015</v>
      </c>
    </row>
    <row r="255" spans="1:26" x14ac:dyDescent="0.25">
      <c r="A255">
        <v>906</v>
      </c>
      <c r="B255" t="s">
        <v>1855</v>
      </c>
      <c r="C255" t="s">
        <v>2690</v>
      </c>
      <c r="D255" t="s">
        <v>2414</v>
      </c>
      <c r="E255" t="s">
        <v>2134</v>
      </c>
      <c r="F255" t="s">
        <v>2967</v>
      </c>
      <c r="G255" t="s">
        <v>1297</v>
      </c>
      <c r="H255" t="s">
        <v>3403</v>
      </c>
      <c r="I255" t="s">
        <v>3041</v>
      </c>
      <c r="J255" t="s">
        <v>3447</v>
      </c>
      <c r="K255" s="6" t="s">
        <v>3702</v>
      </c>
      <c r="L255" s="5" t="s">
        <v>3702</v>
      </c>
      <c r="M255" t="s">
        <v>1577</v>
      </c>
      <c r="N255" t="s">
        <v>1577</v>
      </c>
      <c r="O255" t="s">
        <v>19</v>
      </c>
      <c r="P255" t="s">
        <v>97</v>
      </c>
      <c r="Q255" t="s">
        <v>381</v>
      </c>
      <c r="R255" t="s">
        <v>545</v>
      </c>
      <c r="S255" s="4">
        <v>4.9361747569496596E+18</v>
      </c>
      <c r="T255" t="s">
        <v>29</v>
      </c>
      <c r="U255" s="1">
        <v>9250.02</v>
      </c>
      <c r="V255" s="1" t="s">
        <v>680</v>
      </c>
      <c r="W255" s="1" t="s">
        <v>1037</v>
      </c>
      <c r="X255" t="str">
        <f>IF(V255="","",VLOOKUP(V255,WMI!A:C,2,FALSE))</f>
        <v>Germany</v>
      </c>
      <c r="Y255" t="str">
        <f>IF(V255="","",VLOOKUP(V255,WMI!A:C,3,FALSE))</f>
        <v>Volkswagen</v>
      </c>
      <c r="Z255">
        <f>IF(W255="","",VLOOKUP(W255,year!A:B,2,FALSE))</f>
        <v>2015</v>
      </c>
    </row>
    <row r="256" spans="1:26" x14ac:dyDescent="0.25">
      <c r="A256">
        <v>596</v>
      </c>
      <c r="B256" t="s">
        <v>1856</v>
      </c>
      <c r="C256" t="s">
        <v>2691</v>
      </c>
      <c r="D256" t="s">
        <v>2415</v>
      </c>
      <c r="E256" t="s">
        <v>2135</v>
      </c>
      <c r="F256" t="s">
        <v>2968</v>
      </c>
      <c r="G256" t="s">
        <v>1298</v>
      </c>
      <c r="H256" t="s">
        <v>3404</v>
      </c>
      <c r="I256" t="s">
        <v>3049</v>
      </c>
      <c r="J256" t="s">
        <v>3001</v>
      </c>
      <c r="K256" s="6" t="s">
        <v>3703</v>
      </c>
      <c r="L256" s="5" t="s">
        <v>3703</v>
      </c>
      <c r="M256" t="s">
        <v>1578</v>
      </c>
      <c r="N256" t="s">
        <v>1578</v>
      </c>
      <c r="O256" t="s">
        <v>19</v>
      </c>
      <c r="P256" t="s">
        <v>107</v>
      </c>
      <c r="Q256" t="s">
        <v>413</v>
      </c>
      <c r="R256" t="s">
        <v>414</v>
      </c>
      <c r="S256" s="4">
        <v>5602217254715810</v>
      </c>
      <c r="T256" t="s">
        <v>93</v>
      </c>
      <c r="U256" s="1">
        <v>6122.83</v>
      </c>
      <c r="V256" s="1" t="s">
        <v>676</v>
      </c>
      <c r="W256" s="1" t="s">
        <v>1037</v>
      </c>
      <c r="X256" t="str">
        <f>IF(V256="","",VLOOKUP(V256,WMI!A:C,2,FALSE))</f>
        <v>Germany[9]</v>
      </c>
      <c r="Y256" t="str">
        <f>IF(V256="","",VLOOKUP(V256,WMI!A:C,3,FALSE))</f>
        <v>Porsche SUV</v>
      </c>
      <c r="Z256">
        <f>IF(W256="","",VLOOKUP(W256,year!A:B,2,FALSE))</f>
        <v>2015</v>
      </c>
    </row>
    <row r="257" spans="1:26" x14ac:dyDescent="0.25">
      <c r="A257">
        <v>24</v>
      </c>
      <c r="B257" t="s">
        <v>1857</v>
      </c>
      <c r="C257" t="s">
        <v>2692</v>
      </c>
      <c r="D257" t="s">
        <v>2416</v>
      </c>
      <c r="E257" t="s">
        <v>2136</v>
      </c>
      <c r="F257" t="s">
        <v>2969</v>
      </c>
      <c r="G257" t="s">
        <v>1299</v>
      </c>
      <c r="H257" t="s">
        <v>3405</v>
      </c>
      <c r="I257" t="s">
        <v>3406</v>
      </c>
      <c r="J257" t="s">
        <v>3439</v>
      </c>
      <c r="K257" s="6" t="s">
        <v>3704</v>
      </c>
      <c r="L257" s="5" t="s">
        <v>3704</v>
      </c>
      <c r="M257" t="s">
        <v>1579</v>
      </c>
      <c r="N257" t="s">
        <v>1579</v>
      </c>
      <c r="O257" t="s">
        <v>16</v>
      </c>
      <c r="P257" t="s">
        <v>61</v>
      </c>
      <c r="Q257" t="s">
        <v>62</v>
      </c>
      <c r="R257" t="s">
        <v>63</v>
      </c>
      <c r="S257" s="4">
        <v>3551793540491430</v>
      </c>
      <c r="T257" t="s">
        <v>18</v>
      </c>
      <c r="U257" s="1">
        <v>9586.17</v>
      </c>
      <c r="V257" s="1" t="s">
        <v>585</v>
      </c>
      <c r="W257" s="1" t="s">
        <v>1037</v>
      </c>
      <c r="X257" t="str">
        <f>IF(V257="","",VLOOKUP(V257,WMI!A:C,2,FALSE))</f>
        <v>Japan</v>
      </c>
      <c r="Y257" t="str">
        <f>IF(V257="","",VLOOKUP(V257,WMI!A:C,3,FALSE))</f>
        <v>Mazda</v>
      </c>
      <c r="Z257">
        <f>IF(W257="","",VLOOKUP(W257,year!A:B,2,FALSE))</f>
        <v>2015</v>
      </c>
    </row>
    <row r="258" spans="1:26" x14ac:dyDescent="0.25">
      <c r="A258">
        <v>574</v>
      </c>
      <c r="B258" t="s">
        <v>1858</v>
      </c>
      <c r="C258" t="s">
        <v>2693</v>
      </c>
      <c r="D258" t="s">
        <v>2417</v>
      </c>
      <c r="E258" t="s">
        <v>2137</v>
      </c>
      <c r="F258" t="s">
        <v>2970</v>
      </c>
      <c r="G258" t="s">
        <v>1300</v>
      </c>
      <c r="H258" t="s">
        <v>3407</v>
      </c>
      <c r="I258" t="s">
        <v>3143</v>
      </c>
      <c r="J258" t="s">
        <v>3002</v>
      </c>
      <c r="K258" s="6" t="s">
        <v>3705</v>
      </c>
      <c r="L258" s="5" t="s">
        <v>3705</v>
      </c>
      <c r="M258" t="s">
        <v>1580</v>
      </c>
      <c r="N258" t="s">
        <v>1580</v>
      </c>
      <c r="O258" t="s">
        <v>19</v>
      </c>
      <c r="P258" t="s">
        <v>17</v>
      </c>
      <c r="Q258" t="s">
        <v>145</v>
      </c>
      <c r="R258" t="s">
        <v>402</v>
      </c>
      <c r="S258" s="4">
        <v>6.7092559199628298E+18</v>
      </c>
      <c r="T258" t="s">
        <v>41</v>
      </c>
      <c r="U258" s="1">
        <v>8045.62</v>
      </c>
      <c r="V258" s="1" t="s">
        <v>585</v>
      </c>
      <c r="W258" s="1" t="s">
        <v>1037</v>
      </c>
      <c r="X258" t="str">
        <f>IF(V258="","",VLOOKUP(V258,WMI!A:C,2,FALSE))</f>
        <v>Japan</v>
      </c>
      <c r="Y258" t="str">
        <f>IF(V258="","",VLOOKUP(V258,WMI!A:C,3,FALSE))</f>
        <v>Mazda</v>
      </c>
      <c r="Z258">
        <f>IF(W258="","",VLOOKUP(W258,year!A:B,2,FALSE))</f>
        <v>2015</v>
      </c>
    </row>
    <row r="259" spans="1:26" x14ac:dyDescent="0.25">
      <c r="A259">
        <v>649</v>
      </c>
      <c r="B259" t="s">
        <v>1859</v>
      </c>
      <c r="C259" t="s">
        <v>2694</v>
      </c>
      <c r="D259" t="s">
        <v>2418</v>
      </c>
      <c r="E259" t="s">
        <v>2138</v>
      </c>
      <c r="F259" t="s">
        <v>2971</v>
      </c>
      <c r="G259" t="s">
        <v>1301</v>
      </c>
      <c r="H259" t="s">
        <v>3408</v>
      </c>
      <c r="I259" t="s">
        <v>3253</v>
      </c>
      <c r="J259" t="s">
        <v>3442</v>
      </c>
      <c r="K259" s="6" t="s">
        <v>3706</v>
      </c>
      <c r="L259" s="5" t="s">
        <v>3706</v>
      </c>
      <c r="M259" t="s">
        <v>1581</v>
      </c>
      <c r="N259" t="s">
        <v>1581</v>
      </c>
      <c r="O259" t="s">
        <v>19</v>
      </c>
      <c r="P259" t="s">
        <v>42</v>
      </c>
      <c r="Q259" t="s">
        <v>434</v>
      </c>
      <c r="R259" t="s">
        <v>435</v>
      </c>
      <c r="S259" s="4">
        <v>201731351835928</v>
      </c>
      <c r="T259" t="s">
        <v>28</v>
      </c>
      <c r="U259" s="1">
        <v>6331.03</v>
      </c>
      <c r="V259" s="1" t="s">
        <v>585</v>
      </c>
      <c r="W259" s="1" t="s">
        <v>1037</v>
      </c>
      <c r="X259" t="str">
        <f>IF(V259="","",VLOOKUP(V259,WMI!A:C,2,FALSE))</f>
        <v>Japan</v>
      </c>
      <c r="Y259" t="str">
        <f>IF(V259="","",VLOOKUP(V259,WMI!A:C,3,FALSE))</f>
        <v>Mazda</v>
      </c>
      <c r="Z259">
        <f>IF(W259="","",VLOOKUP(W259,year!A:B,2,FALSE))</f>
        <v>2015</v>
      </c>
    </row>
    <row r="260" spans="1:26" x14ac:dyDescent="0.25">
      <c r="A260">
        <v>603</v>
      </c>
      <c r="B260" t="s">
        <v>1860</v>
      </c>
      <c r="C260" t="s">
        <v>2695</v>
      </c>
      <c r="D260" t="s">
        <v>2419</v>
      </c>
      <c r="E260" t="s">
        <v>2139</v>
      </c>
      <c r="F260" t="s">
        <v>2972</v>
      </c>
      <c r="G260" t="s">
        <v>1302</v>
      </c>
      <c r="H260" t="s">
        <v>3409</v>
      </c>
      <c r="I260" t="s">
        <v>3410</v>
      </c>
      <c r="J260" t="s">
        <v>2996</v>
      </c>
      <c r="K260" s="6" t="s">
        <v>3707</v>
      </c>
      <c r="L260" s="5" t="s">
        <v>3707</v>
      </c>
      <c r="M260" t="s">
        <v>1582</v>
      </c>
      <c r="N260" t="s">
        <v>1582</v>
      </c>
      <c r="O260" t="s">
        <v>19</v>
      </c>
      <c r="P260" t="s">
        <v>61</v>
      </c>
      <c r="Q260" t="s">
        <v>416</v>
      </c>
      <c r="R260" t="s">
        <v>417</v>
      </c>
      <c r="S260" s="4">
        <v>30228448049883</v>
      </c>
      <c r="T260" t="s">
        <v>46</v>
      </c>
      <c r="U260" s="1">
        <v>6672.71</v>
      </c>
      <c r="V260" s="1" t="s">
        <v>728</v>
      </c>
      <c r="W260" s="1" t="s">
        <v>1037</v>
      </c>
      <c r="X260" t="str">
        <f>IF(V260="","",VLOOKUP(V260,WMI!A:C,2,FALSE))</f>
        <v>Mexico</v>
      </c>
      <c r="Y260" t="str">
        <f>IF(V260="","",VLOOKUP(V260,WMI!A:C,3,FALSE))</f>
        <v>Volkswagen</v>
      </c>
      <c r="Z260">
        <f>IF(W260="","",VLOOKUP(W260,year!A:B,2,FALSE))</f>
        <v>2015</v>
      </c>
    </row>
    <row r="261" spans="1:26" x14ac:dyDescent="0.25">
      <c r="A261">
        <v>73</v>
      </c>
      <c r="B261" t="s">
        <v>1861</v>
      </c>
      <c r="C261" t="s">
        <v>2696</v>
      </c>
      <c r="D261" t="s">
        <v>2420</v>
      </c>
      <c r="E261" t="s">
        <v>2140</v>
      </c>
      <c r="F261" t="s">
        <v>2973</v>
      </c>
      <c r="G261" t="s">
        <v>1303</v>
      </c>
      <c r="H261" t="s">
        <v>3411</v>
      </c>
      <c r="I261" t="s">
        <v>3412</v>
      </c>
      <c r="J261" t="s">
        <v>3446</v>
      </c>
      <c r="K261" s="6" t="s">
        <v>3708</v>
      </c>
      <c r="L261" s="5" t="s">
        <v>3708</v>
      </c>
      <c r="M261" t="s">
        <v>1583</v>
      </c>
      <c r="N261" t="s">
        <v>1583</v>
      </c>
      <c r="O261" t="s">
        <v>19</v>
      </c>
      <c r="P261" t="s">
        <v>39</v>
      </c>
      <c r="Q261" t="s">
        <v>112</v>
      </c>
      <c r="R261" t="s">
        <v>113</v>
      </c>
      <c r="S261" s="4">
        <v>4844862078551910</v>
      </c>
      <c r="T261" t="s">
        <v>26</v>
      </c>
      <c r="U261" s="1">
        <v>6368.43</v>
      </c>
      <c r="V261" s="1" t="s">
        <v>781</v>
      </c>
      <c r="W261" s="1" t="s">
        <v>1037</v>
      </c>
      <c r="X261" t="str">
        <f>IF(V261="","",VLOOKUP(V261,WMI!A:C,2,FALSE))</f>
        <v>South Korea</v>
      </c>
      <c r="Y261" t="str">
        <f>IF(V261="","",VLOOKUP(V261,WMI!A:C,3,FALSE))</f>
        <v>Hyundai</v>
      </c>
      <c r="Z261">
        <f>IF(W261="","",VLOOKUP(W261,year!A:B,2,FALSE))</f>
        <v>2015</v>
      </c>
    </row>
    <row r="262" spans="1:26" x14ac:dyDescent="0.25">
      <c r="A262">
        <v>468</v>
      </c>
      <c r="B262" t="s">
        <v>1862</v>
      </c>
      <c r="C262" t="s">
        <v>2697</v>
      </c>
      <c r="D262" t="s">
        <v>2421</v>
      </c>
      <c r="E262" t="s">
        <v>2141</v>
      </c>
      <c r="F262" t="s">
        <v>2974</v>
      </c>
      <c r="G262" t="s">
        <v>1304</v>
      </c>
      <c r="H262" t="s">
        <v>3413</v>
      </c>
      <c r="I262" t="s">
        <v>3274</v>
      </c>
      <c r="J262" t="s">
        <v>3439</v>
      </c>
      <c r="K262" s="6" t="s">
        <v>3709</v>
      </c>
      <c r="L262" s="5" t="s">
        <v>3709</v>
      </c>
      <c r="M262" t="s">
        <v>1584</v>
      </c>
      <c r="N262" t="s">
        <v>1584</v>
      </c>
      <c r="O262" t="s">
        <v>19</v>
      </c>
      <c r="P262" t="s">
        <v>24</v>
      </c>
      <c r="Q262" t="s">
        <v>72</v>
      </c>
      <c r="R262" t="s">
        <v>358</v>
      </c>
      <c r="S262" s="4">
        <v>4026607572039900</v>
      </c>
      <c r="T262" t="s">
        <v>26</v>
      </c>
      <c r="U262" s="1">
        <v>5678.32</v>
      </c>
      <c r="V262" s="1" t="s">
        <v>781</v>
      </c>
      <c r="W262" s="1" t="s">
        <v>1037</v>
      </c>
      <c r="X262" t="str">
        <f>IF(V262="","",VLOOKUP(V262,WMI!A:C,2,FALSE))</f>
        <v>South Korea</v>
      </c>
      <c r="Y262" t="str">
        <f>IF(V262="","",VLOOKUP(V262,WMI!A:C,3,FALSE))</f>
        <v>Hyundai</v>
      </c>
      <c r="Z262">
        <f>IF(W262="","",VLOOKUP(W262,year!A:B,2,FALSE))</f>
        <v>2015</v>
      </c>
    </row>
    <row r="263" spans="1:26" x14ac:dyDescent="0.25">
      <c r="A263">
        <v>622</v>
      </c>
      <c r="B263" t="s">
        <v>1863</v>
      </c>
      <c r="C263" t="s">
        <v>2698</v>
      </c>
      <c r="D263" t="s">
        <v>2422</v>
      </c>
      <c r="E263" t="s">
        <v>2142</v>
      </c>
      <c r="F263" t="s">
        <v>2975</v>
      </c>
      <c r="G263" t="s">
        <v>1305</v>
      </c>
      <c r="H263" t="s">
        <v>3414</v>
      </c>
      <c r="I263" t="s">
        <v>3043</v>
      </c>
      <c r="J263" t="s">
        <v>2994</v>
      </c>
      <c r="K263" s="6" t="s">
        <v>3710</v>
      </c>
      <c r="L263" s="5" t="s">
        <v>3710</v>
      </c>
      <c r="M263" t="s">
        <v>1585</v>
      </c>
      <c r="N263" t="s">
        <v>1585</v>
      </c>
      <c r="O263" t="s">
        <v>19</v>
      </c>
      <c r="P263" t="s">
        <v>39</v>
      </c>
      <c r="Q263" t="s">
        <v>304</v>
      </c>
      <c r="R263" t="s">
        <v>424</v>
      </c>
      <c r="S263" s="4">
        <v>4.9054996053900602E+17</v>
      </c>
      <c r="T263" t="s">
        <v>29</v>
      </c>
      <c r="U263" s="1">
        <v>7657.06</v>
      </c>
      <c r="V263" s="1" t="s">
        <v>781</v>
      </c>
      <c r="W263" s="1" t="s">
        <v>1037</v>
      </c>
      <c r="X263" t="str">
        <f>IF(V263="","",VLOOKUP(V263,WMI!A:C,2,FALSE))</f>
        <v>South Korea</v>
      </c>
      <c r="Y263" t="str">
        <f>IF(V263="","",VLOOKUP(V263,WMI!A:C,3,FALSE))</f>
        <v>Hyundai</v>
      </c>
      <c r="Z263">
        <f>IF(W263="","",VLOOKUP(W263,year!A:B,2,FALSE))</f>
        <v>2015</v>
      </c>
    </row>
    <row r="264" spans="1:26" x14ac:dyDescent="0.25">
      <c r="A264">
        <v>894</v>
      </c>
      <c r="B264" t="s">
        <v>1864</v>
      </c>
      <c r="C264" t="s">
        <v>2699</v>
      </c>
      <c r="D264" t="s">
        <v>2423</v>
      </c>
      <c r="E264" t="s">
        <v>2143</v>
      </c>
      <c r="F264" t="s">
        <v>2976</v>
      </c>
      <c r="G264" t="s">
        <v>1306</v>
      </c>
      <c r="H264" t="s">
        <v>3415</v>
      </c>
      <c r="I264" t="s">
        <v>3045</v>
      </c>
      <c r="J264" t="s">
        <v>2993</v>
      </c>
      <c r="K264" s="6" t="s">
        <v>3711</v>
      </c>
      <c r="L264" s="5" t="s">
        <v>3711</v>
      </c>
      <c r="M264" t="s">
        <v>1586</v>
      </c>
      <c r="N264" t="s">
        <v>1586</v>
      </c>
      <c r="O264" t="s">
        <v>19</v>
      </c>
      <c r="P264" t="s">
        <v>97</v>
      </c>
      <c r="Q264" t="s">
        <v>344</v>
      </c>
      <c r="R264" t="s">
        <v>538</v>
      </c>
      <c r="S264" s="4">
        <v>3534458171697270</v>
      </c>
      <c r="T264" t="s">
        <v>18</v>
      </c>
      <c r="U264" s="1">
        <v>6272.07</v>
      </c>
      <c r="V264" s="1" t="s">
        <v>781</v>
      </c>
      <c r="W264" s="1" t="s">
        <v>1037</v>
      </c>
      <c r="X264" t="str">
        <f>IF(V264="","",VLOOKUP(V264,WMI!A:C,2,FALSE))</f>
        <v>South Korea</v>
      </c>
      <c r="Y264" t="str">
        <f>IF(V264="","",VLOOKUP(V264,WMI!A:C,3,FALSE))</f>
        <v>Hyundai</v>
      </c>
      <c r="Z264">
        <f>IF(W264="","",VLOOKUP(W264,year!A:B,2,FALSE))</f>
        <v>2015</v>
      </c>
    </row>
    <row r="265" spans="1:26" x14ac:dyDescent="0.25">
      <c r="A265">
        <v>922</v>
      </c>
      <c r="B265" t="s">
        <v>1865</v>
      </c>
      <c r="C265" t="s">
        <v>2700</v>
      </c>
      <c r="D265" t="s">
        <v>2424</v>
      </c>
      <c r="E265" t="s">
        <v>2144</v>
      </c>
      <c r="F265" t="s">
        <v>2977</v>
      </c>
      <c r="G265" t="s">
        <v>1307</v>
      </c>
      <c r="H265" t="s">
        <v>3416</v>
      </c>
      <c r="I265" t="s">
        <v>3253</v>
      </c>
      <c r="J265" t="s">
        <v>3442</v>
      </c>
      <c r="K265" s="6" t="s">
        <v>3706</v>
      </c>
      <c r="L265" s="5" t="s">
        <v>3706</v>
      </c>
      <c r="M265" t="s">
        <v>1587</v>
      </c>
      <c r="N265" t="s">
        <v>1587</v>
      </c>
      <c r="O265" t="s">
        <v>19</v>
      </c>
      <c r="P265" t="s">
        <v>17</v>
      </c>
      <c r="Q265" t="s">
        <v>145</v>
      </c>
      <c r="R265" t="s">
        <v>554</v>
      </c>
      <c r="S265" s="4">
        <v>4913596951240110</v>
      </c>
      <c r="T265" t="s">
        <v>26</v>
      </c>
      <c r="U265" s="1">
        <v>8997.44</v>
      </c>
      <c r="V265" s="1" t="s">
        <v>781</v>
      </c>
      <c r="W265" s="1" t="s">
        <v>1037</v>
      </c>
      <c r="X265" t="str">
        <f>IF(V265="","",VLOOKUP(V265,WMI!A:C,2,FALSE))</f>
        <v>South Korea</v>
      </c>
      <c r="Y265" t="str">
        <f>IF(V265="","",VLOOKUP(V265,WMI!A:C,3,FALSE))</f>
        <v>Hyundai</v>
      </c>
      <c r="Z265">
        <f>IF(W265="","",VLOOKUP(W265,year!A:B,2,FALSE))</f>
        <v>2015</v>
      </c>
    </row>
    <row r="266" spans="1:26" x14ac:dyDescent="0.25">
      <c r="A266">
        <v>31</v>
      </c>
      <c r="B266" t="s">
        <v>1866</v>
      </c>
      <c r="C266" t="s">
        <v>2701</v>
      </c>
      <c r="D266" t="s">
        <v>2425</v>
      </c>
      <c r="E266" t="s">
        <v>2145</v>
      </c>
      <c r="F266" t="s">
        <v>2978</v>
      </c>
      <c r="G266" t="s">
        <v>1308</v>
      </c>
      <c r="H266" t="s">
        <v>3417</v>
      </c>
      <c r="I266" t="s">
        <v>3125</v>
      </c>
      <c r="J266" t="s">
        <v>3459</v>
      </c>
      <c r="K266" s="6" t="s">
        <v>3531</v>
      </c>
      <c r="L266" s="5" t="s">
        <v>3531</v>
      </c>
      <c r="M266" t="s">
        <v>1588</v>
      </c>
      <c r="N266" t="s">
        <v>1588</v>
      </c>
      <c r="O266" t="s">
        <v>16</v>
      </c>
      <c r="P266" t="s">
        <v>24</v>
      </c>
      <c r="Q266" t="s">
        <v>72</v>
      </c>
      <c r="R266" t="s">
        <v>73</v>
      </c>
      <c r="S266" s="4">
        <v>3573133643902500</v>
      </c>
      <c r="T266" t="s">
        <v>18</v>
      </c>
      <c r="U266" s="1">
        <v>8035.79</v>
      </c>
      <c r="V266" s="1" t="s">
        <v>692</v>
      </c>
      <c r="W266" s="1" t="s">
        <v>1037</v>
      </c>
      <c r="X266" t="str">
        <f>IF(V266="","",VLOOKUP(V266,WMI!A:C,2,FALSE))</f>
        <v>Sweden</v>
      </c>
      <c r="Y266" t="str">
        <f>IF(V266="","",VLOOKUP(V266,WMI!A:C,3,FALSE))</f>
        <v>Volvo Cars</v>
      </c>
      <c r="Z266">
        <f>IF(W266="","",VLOOKUP(W266,year!A:B,2,FALSE))</f>
        <v>2015</v>
      </c>
    </row>
    <row r="267" spans="1:26" x14ac:dyDescent="0.25">
      <c r="A267">
        <v>115</v>
      </c>
      <c r="B267" t="s">
        <v>1867</v>
      </c>
      <c r="C267" t="s">
        <v>2702</v>
      </c>
      <c r="D267" t="s">
        <v>2426</v>
      </c>
      <c r="E267" t="s">
        <v>2146</v>
      </c>
      <c r="F267" t="s">
        <v>2979</v>
      </c>
      <c r="G267" t="s">
        <v>1309</v>
      </c>
      <c r="H267" t="s">
        <v>3418</v>
      </c>
      <c r="I267" t="s">
        <v>3419</v>
      </c>
      <c r="J267" t="s">
        <v>3443</v>
      </c>
      <c r="K267" s="6" t="s">
        <v>3712</v>
      </c>
      <c r="L267" s="5" t="s">
        <v>3712</v>
      </c>
      <c r="M267" t="s">
        <v>1589</v>
      </c>
      <c r="N267" t="s">
        <v>1589</v>
      </c>
      <c r="O267" t="s">
        <v>19</v>
      </c>
      <c r="P267" t="s">
        <v>137</v>
      </c>
      <c r="Q267">
        <v>850</v>
      </c>
      <c r="R267" t="s">
        <v>150</v>
      </c>
      <c r="S267" s="4">
        <v>3533258810824770</v>
      </c>
      <c r="T267" t="s">
        <v>18</v>
      </c>
      <c r="U267" s="1">
        <v>6726.89</v>
      </c>
      <c r="V267" s="1" t="s">
        <v>692</v>
      </c>
      <c r="W267" s="1" t="s">
        <v>1037</v>
      </c>
      <c r="X267" t="str">
        <f>IF(V267="","",VLOOKUP(V267,WMI!A:C,2,FALSE))</f>
        <v>Sweden</v>
      </c>
      <c r="Y267" t="str">
        <f>IF(V267="","",VLOOKUP(V267,WMI!A:C,3,FALSE))</f>
        <v>Volvo Cars</v>
      </c>
      <c r="Z267">
        <f>IF(W267="","",VLOOKUP(W267,year!A:B,2,FALSE))</f>
        <v>2015</v>
      </c>
    </row>
    <row r="268" spans="1:26" x14ac:dyDescent="0.25">
      <c r="A268">
        <v>421</v>
      </c>
      <c r="B268" t="s">
        <v>1868</v>
      </c>
      <c r="C268" t="s">
        <v>2545</v>
      </c>
      <c r="D268" t="s">
        <v>2427</v>
      </c>
      <c r="E268" t="s">
        <v>2147</v>
      </c>
      <c r="F268" t="s">
        <v>2980</v>
      </c>
      <c r="G268" t="s">
        <v>1310</v>
      </c>
      <c r="H268" t="s">
        <v>3420</v>
      </c>
      <c r="I268" t="s">
        <v>3421</v>
      </c>
      <c r="J268" t="s">
        <v>3440</v>
      </c>
      <c r="K268" s="6" t="s">
        <v>3713</v>
      </c>
      <c r="L268" s="5" t="s">
        <v>3713</v>
      </c>
      <c r="M268" t="s">
        <v>1590</v>
      </c>
      <c r="N268" t="s">
        <v>1590</v>
      </c>
      <c r="O268" t="s">
        <v>19</v>
      </c>
      <c r="P268" t="s">
        <v>66</v>
      </c>
      <c r="Q268" t="s">
        <v>341</v>
      </c>
      <c r="R268" t="s">
        <v>342</v>
      </c>
      <c r="S268" s="4">
        <v>4936333565241160</v>
      </c>
      <c r="T268" t="s">
        <v>29</v>
      </c>
      <c r="U268" s="1">
        <v>7055.96</v>
      </c>
      <c r="V268" s="1" t="s">
        <v>692</v>
      </c>
      <c r="W268" s="1" t="s">
        <v>1037</v>
      </c>
      <c r="X268" t="str">
        <f>IF(V268="","",VLOOKUP(V268,WMI!A:C,2,FALSE))</f>
        <v>Sweden</v>
      </c>
      <c r="Y268" t="str">
        <f>IF(V268="","",VLOOKUP(V268,WMI!A:C,3,FALSE))</f>
        <v>Volvo Cars</v>
      </c>
      <c r="Z268">
        <f>IF(W268="","",VLOOKUP(W268,year!A:B,2,FALSE))</f>
        <v>2015</v>
      </c>
    </row>
    <row r="269" spans="1:26" x14ac:dyDescent="0.25">
      <c r="A269">
        <v>587</v>
      </c>
      <c r="B269" t="s">
        <v>1869</v>
      </c>
      <c r="C269" t="s">
        <v>2703</v>
      </c>
      <c r="D269" t="s">
        <v>2428</v>
      </c>
      <c r="E269" t="s">
        <v>2148</v>
      </c>
      <c r="F269" t="s">
        <v>2981</v>
      </c>
      <c r="G269" t="s">
        <v>1311</v>
      </c>
      <c r="H269" t="s">
        <v>3422</v>
      </c>
      <c r="I269" t="s">
        <v>3049</v>
      </c>
      <c r="J269" t="s">
        <v>3001</v>
      </c>
      <c r="K269" s="6" t="s">
        <v>3714</v>
      </c>
      <c r="L269" s="5" t="s">
        <v>3714</v>
      </c>
      <c r="M269" t="s">
        <v>1591</v>
      </c>
      <c r="N269" t="s">
        <v>1591</v>
      </c>
      <c r="O269" t="s">
        <v>19</v>
      </c>
      <c r="P269" t="s">
        <v>100</v>
      </c>
      <c r="Q269" t="s">
        <v>101</v>
      </c>
      <c r="R269" t="s">
        <v>410</v>
      </c>
      <c r="S269" s="4">
        <v>4005037459494990</v>
      </c>
      <c r="T269" t="s">
        <v>119</v>
      </c>
      <c r="U269" s="1">
        <v>6201.49</v>
      </c>
      <c r="V269" s="1" t="s">
        <v>692</v>
      </c>
      <c r="W269" s="1" t="s">
        <v>1037</v>
      </c>
      <c r="X269" t="str">
        <f>IF(V269="","",VLOOKUP(V269,WMI!A:C,2,FALSE))</f>
        <v>Sweden</v>
      </c>
      <c r="Y269" t="str">
        <f>IF(V269="","",VLOOKUP(V269,WMI!A:C,3,FALSE))</f>
        <v>Volvo Cars</v>
      </c>
      <c r="Z269">
        <f>IF(W269="","",VLOOKUP(W269,year!A:B,2,FALSE))</f>
        <v>2015</v>
      </c>
    </row>
    <row r="270" spans="1:26" x14ac:dyDescent="0.25">
      <c r="A270">
        <v>668</v>
      </c>
      <c r="B270" t="s">
        <v>1870</v>
      </c>
      <c r="C270" t="s">
        <v>2704</v>
      </c>
      <c r="D270" t="s">
        <v>2429</v>
      </c>
      <c r="E270" t="s">
        <v>2149</v>
      </c>
      <c r="F270" t="s">
        <v>2982</v>
      </c>
      <c r="G270" t="s">
        <v>1312</v>
      </c>
      <c r="H270" t="s">
        <v>3423</v>
      </c>
      <c r="I270" t="s">
        <v>3196</v>
      </c>
      <c r="J270" t="s">
        <v>3001</v>
      </c>
      <c r="K270" s="6" t="s">
        <v>3715</v>
      </c>
      <c r="L270" s="5" t="s">
        <v>3715</v>
      </c>
      <c r="M270" t="s">
        <v>1592</v>
      </c>
      <c r="N270" t="s">
        <v>1592</v>
      </c>
      <c r="O270" t="s">
        <v>19</v>
      </c>
      <c r="P270" t="s">
        <v>107</v>
      </c>
      <c r="Q270" t="s">
        <v>446</v>
      </c>
      <c r="R270" t="s">
        <v>447</v>
      </c>
      <c r="S270" s="4">
        <v>5602221276961150</v>
      </c>
      <c r="T270" t="s">
        <v>93</v>
      </c>
      <c r="U270" s="1">
        <v>6075.41</v>
      </c>
      <c r="V270" s="1" t="s">
        <v>692</v>
      </c>
      <c r="W270" s="1" t="s">
        <v>1037</v>
      </c>
      <c r="X270" t="str">
        <f>IF(V270="","",VLOOKUP(V270,WMI!A:C,2,FALSE))</f>
        <v>Sweden</v>
      </c>
      <c r="Y270" t="str">
        <f>IF(V270="","",VLOOKUP(V270,WMI!A:C,3,FALSE))</f>
        <v>Volvo Cars</v>
      </c>
      <c r="Z270">
        <f>IF(W270="","",VLOOKUP(W270,year!A:B,2,FALSE))</f>
        <v>2015</v>
      </c>
    </row>
    <row r="271" spans="1:26" x14ac:dyDescent="0.25">
      <c r="A271">
        <v>682</v>
      </c>
      <c r="B271" t="s">
        <v>1871</v>
      </c>
      <c r="C271" t="s">
        <v>2705</v>
      </c>
      <c r="D271" t="s">
        <v>2430</v>
      </c>
      <c r="E271" t="s">
        <v>2150</v>
      </c>
      <c r="F271" t="s">
        <v>2983</v>
      </c>
      <c r="G271" t="s">
        <v>1313</v>
      </c>
      <c r="H271" t="s">
        <v>3424</v>
      </c>
      <c r="I271" t="s">
        <v>104</v>
      </c>
      <c r="J271" t="s">
        <v>2993</v>
      </c>
      <c r="K271" s="6" t="s">
        <v>3716</v>
      </c>
      <c r="L271" s="5" t="s">
        <v>3716</v>
      </c>
      <c r="M271" t="s">
        <v>1593</v>
      </c>
      <c r="N271" t="s">
        <v>1593</v>
      </c>
      <c r="O271" t="s">
        <v>16</v>
      </c>
      <c r="P271" t="s">
        <v>421</v>
      </c>
      <c r="Q271" t="s">
        <v>450</v>
      </c>
      <c r="R271" t="s">
        <v>451</v>
      </c>
      <c r="S271" s="4">
        <v>30590243376781</v>
      </c>
      <c r="T271" t="s">
        <v>46</v>
      </c>
      <c r="U271" s="1">
        <v>8436.8799999999992</v>
      </c>
      <c r="V271" s="1" t="s">
        <v>692</v>
      </c>
      <c r="W271" s="1" t="s">
        <v>1037</v>
      </c>
      <c r="X271" t="str">
        <f>IF(V271="","",VLOOKUP(V271,WMI!A:C,2,FALSE))</f>
        <v>Sweden</v>
      </c>
      <c r="Y271" t="str">
        <f>IF(V271="","",VLOOKUP(V271,WMI!A:C,3,FALSE))</f>
        <v>Volvo Cars</v>
      </c>
      <c r="Z271">
        <f>IF(W271="","",VLOOKUP(W271,year!A:B,2,FALSE))</f>
        <v>2015</v>
      </c>
    </row>
    <row r="272" spans="1:26" x14ac:dyDescent="0.25">
      <c r="A272">
        <v>864</v>
      </c>
      <c r="B272" t="s">
        <v>1872</v>
      </c>
      <c r="C272" t="s">
        <v>2706</v>
      </c>
      <c r="D272" t="s">
        <v>2431</v>
      </c>
      <c r="E272" t="s">
        <v>2151</v>
      </c>
      <c r="F272" t="s">
        <v>2984</v>
      </c>
      <c r="G272" t="s">
        <v>1314</v>
      </c>
      <c r="H272" t="s">
        <v>3425</v>
      </c>
      <c r="I272" t="s">
        <v>3155</v>
      </c>
      <c r="J272" t="s">
        <v>3445</v>
      </c>
      <c r="K272" s="6" t="s">
        <v>3549</v>
      </c>
      <c r="L272" s="5" t="s">
        <v>3549</v>
      </c>
      <c r="M272" t="s">
        <v>1594</v>
      </c>
      <c r="N272" t="s">
        <v>1594</v>
      </c>
      <c r="O272" t="s">
        <v>16</v>
      </c>
      <c r="P272" t="s">
        <v>523</v>
      </c>
      <c r="Q272">
        <v>2500</v>
      </c>
      <c r="R272" t="s">
        <v>524</v>
      </c>
      <c r="S272" s="4">
        <v>4405837355765520</v>
      </c>
      <c r="T272" t="s">
        <v>26</v>
      </c>
      <c r="U272" s="1">
        <v>5330.46</v>
      </c>
      <c r="V272" s="1" t="s">
        <v>622</v>
      </c>
      <c r="W272" s="1" t="s">
        <v>1037</v>
      </c>
      <c r="X272" t="str">
        <f>IF(V272="","",VLOOKUP(V272,WMI!A:C,2,FALSE))</f>
        <v>United Kingdom</v>
      </c>
      <c r="Y272" t="str">
        <f>IF(V272="","",VLOOKUP(V272,WMI!A:C,3,FALSE))</f>
        <v>Jaguar</v>
      </c>
      <c r="Z272">
        <f>IF(W272="","",VLOOKUP(W272,year!A:B,2,FALSE))</f>
        <v>2015</v>
      </c>
    </row>
    <row r="273" spans="1:26" x14ac:dyDescent="0.25">
      <c r="A273">
        <v>2</v>
      </c>
      <c r="B273" t="s">
        <v>1873</v>
      </c>
      <c r="C273" t="s">
        <v>2707</v>
      </c>
      <c r="D273" t="s">
        <v>2432</v>
      </c>
      <c r="E273" t="s">
        <v>2152</v>
      </c>
      <c r="F273" t="s">
        <v>2985</v>
      </c>
      <c r="G273" t="s">
        <v>1315</v>
      </c>
      <c r="H273" t="s">
        <v>3426</v>
      </c>
      <c r="I273" t="s">
        <v>3427</v>
      </c>
      <c r="J273" t="s">
        <v>3453</v>
      </c>
      <c r="K273" s="6" t="s">
        <v>3717</v>
      </c>
      <c r="L273" s="5" t="s">
        <v>3717</v>
      </c>
      <c r="M273" t="s">
        <v>1595</v>
      </c>
      <c r="N273" t="s">
        <v>1595</v>
      </c>
      <c r="O273" t="s">
        <v>19</v>
      </c>
      <c r="P273" t="s">
        <v>20</v>
      </c>
      <c r="Q273" t="s">
        <v>21</v>
      </c>
      <c r="R273" t="s">
        <v>22</v>
      </c>
      <c r="S273" s="4">
        <v>5002353314768140</v>
      </c>
      <c r="T273" t="s">
        <v>23</v>
      </c>
      <c r="U273" s="1">
        <v>7800.26</v>
      </c>
      <c r="V273" s="1" t="s">
        <v>621</v>
      </c>
      <c r="W273" s="1" t="s">
        <v>1037</v>
      </c>
      <c r="X273" t="str">
        <f>IF(V273="","",VLOOKUP(V273,WMI!A:C,2,FALSE))</f>
        <v>United Kingdom</v>
      </c>
      <c r="Y273" t="str">
        <f>IF(V273="","",VLOOKUP(V273,WMI!A:C,3,FALSE))</f>
        <v>Land Rover</v>
      </c>
      <c r="Z273">
        <f>IF(W273="","",VLOOKUP(W273,year!A:B,2,FALSE))</f>
        <v>2015</v>
      </c>
    </row>
    <row r="274" spans="1:26" x14ac:dyDescent="0.25">
      <c r="A274">
        <v>463</v>
      </c>
      <c r="B274" t="s">
        <v>1874</v>
      </c>
      <c r="C274" t="s">
        <v>2708</v>
      </c>
      <c r="D274" t="s">
        <v>2433</v>
      </c>
      <c r="E274" t="s">
        <v>2153</v>
      </c>
      <c r="F274" t="s">
        <v>2986</v>
      </c>
      <c r="G274" t="s">
        <v>1316</v>
      </c>
      <c r="H274" t="s">
        <v>3428</v>
      </c>
      <c r="I274" t="s">
        <v>3125</v>
      </c>
      <c r="J274" t="s">
        <v>3459</v>
      </c>
      <c r="K274" s="6" t="s">
        <v>3718</v>
      </c>
      <c r="L274" s="5" t="s">
        <v>3718</v>
      </c>
      <c r="M274" t="s">
        <v>1596</v>
      </c>
      <c r="N274" t="s">
        <v>1596</v>
      </c>
      <c r="O274" t="s">
        <v>19</v>
      </c>
      <c r="P274" t="s">
        <v>74</v>
      </c>
      <c r="Q274" t="s">
        <v>315</v>
      </c>
      <c r="R274" t="s">
        <v>356</v>
      </c>
      <c r="S274" s="4">
        <v>3546880016594860</v>
      </c>
      <c r="T274" t="s">
        <v>18</v>
      </c>
      <c r="U274" s="1">
        <v>5454.9</v>
      </c>
      <c r="V274" s="1" t="s">
        <v>709</v>
      </c>
      <c r="W274" s="1" t="s">
        <v>1037</v>
      </c>
      <c r="X274" t="str">
        <f>IF(V274="","",VLOOKUP(V274,WMI!A:C,2,FALSE))</f>
        <v>United States</v>
      </c>
      <c r="Y274" t="str">
        <f>IF(V274="","",VLOOKUP(V274,WMI!A:C,3,FALSE))</f>
        <v>Buick</v>
      </c>
      <c r="Z274">
        <f>IF(W274="","",VLOOKUP(W274,year!A:B,2,FALSE))</f>
        <v>2015</v>
      </c>
    </row>
    <row r="275" spans="1:26" x14ac:dyDescent="0.25">
      <c r="A275">
        <v>670</v>
      </c>
      <c r="B275" t="s">
        <v>1875</v>
      </c>
      <c r="C275" t="s">
        <v>2709</v>
      </c>
      <c r="D275" t="s">
        <v>2434</v>
      </c>
      <c r="E275" t="s">
        <v>2154</v>
      </c>
      <c r="F275" t="s">
        <v>2987</v>
      </c>
      <c r="G275" t="s">
        <v>1317</v>
      </c>
      <c r="H275" t="s">
        <v>3429</v>
      </c>
      <c r="I275" t="s">
        <v>3338</v>
      </c>
      <c r="J275" t="s">
        <v>3443</v>
      </c>
      <c r="K275" s="6" t="s">
        <v>3719</v>
      </c>
      <c r="L275" s="5" t="s">
        <v>3719</v>
      </c>
      <c r="M275" t="s">
        <v>1597</v>
      </c>
      <c r="N275" t="s">
        <v>1597</v>
      </c>
      <c r="O275" t="s">
        <v>16</v>
      </c>
      <c r="P275" t="s">
        <v>68</v>
      </c>
      <c r="Q275" t="s">
        <v>448</v>
      </c>
      <c r="R275" t="s">
        <v>449</v>
      </c>
      <c r="S275" s="4">
        <v>5602230561786190</v>
      </c>
      <c r="T275" t="s">
        <v>93</v>
      </c>
      <c r="U275" s="1">
        <v>6663.52</v>
      </c>
      <c r="V275" s="1" t="s">
        <v>734</v>
      </c>
      <c r="W275" s="1" t="s">
        <v>1037</v>
      </c>
      <c r="X275" t="str">
        <f>IF(V275="","",VLOOKUP(V275,WMI!A:C,2,FALSE))</f>
        <v>United States</v>
      </c>
      <c r="Y275" t="str">
        <f>IF(V275="","",VLOOKUP(V275,WMI!A:C,3,FALSE))</f>
        <v>Nissan</v>
      </c>
      <c r="Z275">
        <f>IF(W275="","",VLOOKUP(W275,year!A:B,2,FALSE))</f>
        <v>2015</v>
      </c>
    </row>
    <row r="276" spans="1:26" x14ac:dyDescent="0.25">
      <c r="A276">
        <v>699</v>
      </c>
      <c r="B276" t="s">
        <v>1876</v>
      </c>
      <c r="C276" t="s">
        <v>2710</v>
      </c>
      <c r="D276" t="s">
        <v>2435</v>
      </c>
      <c r="E276" t="s">
        <v>2155</v>
      </c>
      <c r="F276" t="s">
        <v>2988</v>
      </c>
      <c r="G276" t="s">
        <v>1318</v>
      </c>
      <c r="H276" t="s">
        <v>3430</v>
      </c>
      <c r="I276" t="s">
        <v>3018</v>
      </c>
      <c r="J276" t="s">
        <v>3440</v>
      </c>
      <c r="K276" s="6" t="s">
        <v>3560</v>
      </c>
      <c r="L276" s="5" t="s">
        <v>3560</v>
      </c>
      <c r="M276" t="s">
        <v>1598</v>
      </c>
      <c r="N276" t="s">
        <v>1598</v>
      </c>
      <c r="O276" t="s">
        <v>19</v>
      </c>
      <c r="P276" t="s">
        <v>43</v>
      </c>
      <c r="Q276" t="s">
        <v>44</v>
      </c>
      <c r="R276" t="s">
        <v>459</v>
      </c>
      <c r="S276" s="4">
        <v>5048374984213890</v>
      </c>
      <c r="T276" t="s">
        <v>23</v>
      </c>
      <c r="U276" s="1">
        <v>5912.59</v>
      </c>
      <c r="V276" s="1" t="s">
        <v>734</v>
      </c>
      <c r="W276" s="1" t="s">
        <v>1037</v>
      </c>
      <c r="X276" t="str">
        <f>IF(V276="","",VLOOKUP(V276,WMI!A:C,2,FALSE))</f>
        <v>United States</v>
      </c>
      <c r="Y276" t="str">
        <f>IF(V276="","",VLOOKUP(V276,WMI!A:C,3,FALSE))</f>
        <v>Nissan</v>
      </c>
      <c r="Z276">
        <f>IF(W276="","",VLOOKUP(W276,year!A:B,2,FALSE))</f>
        <v>2015</v>
      </c>
    </row>
    <row r="277" spans="1:26" x14ac:dyDescent="0.25">
      <c r="A277">
        <v>40</v>
      </c>
      <c r="B277" t="s">
        <v>1877</v>
      </c>
      <c r="C277" t="s">
        <v>2711</v>
      </c>
      <c r="D277" t="s">
        <v>2436</v>
      </c>
      <c r="E277" t="s">
        <v>2156</v>
      </c>
      <c r="F277" t="s">
        <v>2989</v>
      </c>
      <c r="G277" t="s">
        <v>1319</v>
      </c>
      <c r="H277" t="s">
        <v>3431</v>
      </c>
      <c r="I277" t="s">
        <v>3432</v>
      </c>
      <c r="J277" t="s">
        <v>3466</v>
      </c>
      <c r="K277" s="6" t="s">
        <v>3720</v>
      </c>
      <c r="L277" s="5" t="s">
        <v>3720</v>
      </c>
      <c r="M277" t="s">
        <v>1599</v>
      </c>
      <c r="N277" t="s">
        <v>1599</v>
      </c>
      <c r="O277" t="s">
        <v>16</v>
      </c>
      <c r="P277" t="s">
        <v>88</v>
      </c>
      <c r="Q277" t="s">
        <v>89</v>
      </c>
      <c r="R277" t="s">
        <v>90</v>
      </c>
      <c r="S277" s="4">
        <v>3549171904722260</v>
      </c>
      <c r="T277" t="s">
        <v>18</v>
      </c>
      <c r="U277" s="1">
        <v>9454.81</v>
      </c>
      <c r="V277" s="1" t="s">
        <v>902</v>
      </c>
      <c r="W277" s="1" t="s">
        <v>1037</v>
      </c>
      <c r="X277" t="str">
        <f>IF(V277="","",VLOOKUP(V277,WMI!A:C,2,FALSE))</f>
        <v>United States</v>
      </c>
      <c r="Y277" t="str">
        <f>IF(V277="","",VLOOKUP(V277,WMI!A:C,3,FALSE))</f>
        <v>Honda</v>
      </c>
      <c r="Z277">
        <f>IF(W277="","",VLOOKUP(W277,year!A:B,2,FALSE))</f>
        <v>2015</v>
      </c>
    </row>
    <row r="278" spans="1:26" x14ac:dyDescent="0.25">
      <c r="A278">
        <v>220</v>
      </c>
      <c r="B278" t="s">
        <v>1878</v>
      </c>
      <c r="C278" t="s">
        <v>2712</v>
      </c>
      <c r="D278" t="s">
        <v>2437</v>
      </c>
      <c r="E278" t="s">
        <v>2157</v>
      </c>
      <c r="F278" t="s">
        <v>2990</v>
      </c>
      <c r="G278" t="s">
        <v>1320</v>
      </c>
      <c r="H278" t="s">
        <v>3433</v>
      </c>
      <c r="I278" t="s">
        <v>3117</v>
      </c>
      <c r="J278" t="s">
        <v>3446</v>
      </c>
      <c r="K278" s="6" t="s">
        <v>3721</v>
      </c>
      <c r="L278" s="5" t="s">
        <v>3721</v>
      </c>
      <c r="M278" t="s">
        <v>1600</v>
      </c>
      <c r="N278" t="s">
        <v>1600</v>
      </c>
      <c r="O278" t="s">
        <v>19</v>
      </c>
      <c r="P278" t="s">
        <v>223</v>
      </c>
      <c r="Q278" t="s">
        <v>224</v>
      </c>
      <c r="R278" t="s">
        <v>225</v>
      </c>
      <c r="S278" s="4">
        <v>3581563535640220</v>
      </c>
      <c r="T278" t="s">
        <v>18</v>
      </c>
      <c r="U278" s="1">
        <v>9430.07</v>
      </c>
      <c r="V278" s="1" t="s">
        <v>925</v>
      </c>
      <c r="W278" s="1" t="s">
        <v>1037</v>
      </c>
      <c r="X278" t="str">
        <f>IF(V278="","",VLOOKUP(V278,WMI!A:C,2,FALSE))</f>
        <v>United States</v>
      </c>
      <c r="Y278" t="str">
        <f>IF(V278="","",VLOOKUP(V278,WMI!A:C,3,FALSE))</f>
        <v>Honda</v>
      </c>
      <c r="Z278">
        <f>IF(W278="","",VLOOKUP(W278,year!A:B,2,FALSE))</f>
        <v>2015</v>
      </c>
    </row>
    <row r="279" spans="1:26" x14ac:dyDescent="0.25">
      <c r="A279">
        <v>685</v>
      </c>
      <c r="B279" t="s">
        <v>1879</v>
      </c>
      <c r="C279" t="s">
        <v>2713</v>
      </c>
      <c r="D279" t="s">
        <v>2438</v>
      </c>
      <c r="E279" t="s">
        <v>2158</v>
      </c>
      <c r="F279" t="s">
        <v>2991</v>
      </c>
      <c r="G279" t="s">
        <v>1321</v>
      </c>
      <c r="H279" t="s">
        <v>3434</v>
      </c>
      <c r="I279" t="s">
        <v>3435</v>
      </c>
      <c r="J279" t="s">
        <v>3445</v>
      </c>
      <c r="K279" s="6" t="s">
        <v>3722</v>
      </c>
      <c r="L279" s="5" t="s">
        <v>3722</v>
      </c>
      <c r="M279" t="s">
        <v>1601</v>
      </c>
      <c r="N279" t="s">
        <v>1601</v>
      </c>
      <c r="O279" t="s">
        <v>19</v>
      </c>
      <c r="P279" t="s">
        <v>31</v>
      </c>
      <c r="Q279" t="s">
        <v>454</v>
      </c>
      <c r="R279" t="s">
        <v>455</v>
      </c>
      <c r="S279" s="4">
        <v>3545492949615250</v>
      </c>
      <c r="T279" t="s">
        <v>18</v>
      </c>
      <c r="U279" s="1">
        <v>7547.95</v>
      </c>
      <c r="V279" s="1" t="s">
        <v>901</v>
      </c>
      <c r="W279" s="1" t="s">
        <v>1037</v>
      </c>
      <c r="X279" t="str">
        <f>IF(V279="","",VLOOKUP(V279,WMI!A:C,2,FALSE))</f>
        <v>United States</v>
      </c>
      <c r="Y279" t="str">
        <f>IF(V279="","",VLOOKUP(V279,WMI!A:C,3,FALSE))</f>
        <v>GMC incomplete vehicles</v>
      </c>
      <c r="Z279">
        <f>IF(W279="","",VLOOKUP(W279,year!A:B,2,FALSE))</f>
        <v>2015</v>
      </c>
    </row>
  </sheetData>
  <sortState xmlns:xlrd2="http://schemas.microsoft.com/office/spreadsheetml/2017/richdata2" ref="A2:Z279">
    <sortCondition ref="Z4"/>
  </sortState>
  <hyperlinks>
    <hyperlink ref="N4" r:id="rId1" display="noliffe2j@paginegialle.it" xr:uid="{0AFA0462-5379-4833-91DF-A5C757D9EE89}"/>
    <hyperlink ref="N6" r:id="rId2" display="kpetleya3@edublogs.org" xr:uid="{5ED474F8-52DD-4AF8-820B-C5859CDDEF9C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83D35-9EE7-4191-AFCE-DE5932D38182}">
  <sheetPr codeName="Sheet1"/>
  <dimension ref="A1"/>
  <sheetViews>
    <sheetView zoomScale="280" zoomScaleNormal="280" workbookViewId="0">
      <selection activeCell="A2" sqref="A2"/>
    </sheetView>
  </sheetViews>
  <sheetFormatPr defaultRowHeight="15" x14ac:dyDescent="0.25"/>
  <sheetData>
    <row r="1" spans="1:1" x14ac:dyDescent="0.25">
      <c r="A1">
        <f ca="1">RAND()</f>
        <v>0.31302927773384281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149" workbookViewId="0">
      <selection activeCell="A150" sqref="A150:A164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578</v>
      </c>
      <c r="B1" t="s">
        <v>764</v>
      </c>
      <c r="C1" t="s">
        <v>579</v>
      </c>
    </row>
    <row r="2" spans="1:3" x14ac:dyDescent="0.25">
      <c r="A2" t="s">
        <v>580</v>
      </c>
      <c r="B2" t="s">
        <v>765</v>
      </c>
      <c r="C2" t="s">
        <v>83</v>
      </c>
    </row>
    <row r="3" spans="1:3" x14ac:dyDescent="0.25">
      <c r="A3" t="s">
        <v>582</v>
      </c>
      <c r="B3" t="s">
        <v>765</v>
      </c>
      <c r="C3" t="s">
        <v>17</v>
      </c>
    </row>
    <row r="4" spans="1:3" x14ac:dyDescent="0.25">
      <c r="A4" t="s">
        <v>581</v>
      </c>
      <c r="B4" t="s">
        <v>765</v>
      </c>
      <c r="C4" t="s">
        <v>39</v>
      </c>
    </row>
    <row r="5" spans="1:3" x14ac:dyDescent="0.25">
      <c r="A5" t="s">
        <v>766</v>
      </c>
      <c r="B5" t="s">
        <v>767</v>
      </c>
      <c r="C5" t="s">
        <v>768</v>
      </c>
    </row>
    <row r="6" spans="1:3" x14ac:dyDescent="0.25">
      <c r="A6" t="s">
        <v>769</v>
      </c>
      <c r="B6" t="s">
        <v>770</v>
      </c>
      <c r="C6" t="s">
        <v>771</v>
      </c>
    </row>
    <row r="7" spans="1:3" x14ac:dyDescent="0.25">
      <c r="A7" t="s">
        <v>583</v>
      </c>
      <c r="B7" t="s">
        <v>772</v>
      </c>
      <c r="C7" t="s">
        <v>31</v>
      </c>
    </row>
    <row r="8" spans="1:3" x14ac:dyDescent="0.25">
      <c r="A8" t="s">
        <v>773</v>
      </c>
      <c r="B8" t="s">
        <v>772</v>
      </c>
      <c r="C8" t="s">
        <v>979</v>
      </c>
    </row>
    <row r="9" spans="1:3" x14ac:dyDescent="0.25">
      <c r="A9" t="s">
        <v>584</v>
      </c>
      <c r="B9" t="s">
        <v>772</v>
      </c>
      <c r="C9" t="s">
        <v>774</v>
      </c>
    </row>
    <row r="10" spans="1:3" x14ac:dyDescent="0.25">
      <c r="A10" t="s">
        <v>775</v>
      </c>
      <c r="B10" t="s">
        <v>772</v>
      </c>
      <c r="C10" t="s">
        <v>55</v>
      </c>
    </row>
    <row r="11" spans="1:3" x14ac:dyDescent="0.25">
      <c r="A11" t="s">
        <v>776</v>
      </c>
      <c r="B11" t="s">
        <v>772</v>
      </c>
      <c r="C11" t="s">
        <v>55</v>
      </c>
    </row>
    <row r="12" spans="1:3" x14ac:dyDescent="0.25">
      <c r="A12" t="s">
        <v>777</v>
      </c>
      <c r="B12" t="s">
        <v>772</v>
      </c>
      <c r="C12" t="s">
        <v>778</v>
      </c>
    </row>
    <row r="13" spans="1:3" x14ac:dyDescent="0.25">
      <c r="A13" t="s">
        <v>585</v>
      </c>
      <c r="B13" t="s">
        <v>772</v>
      </c>
      <c r="C13" t="s">
        <v>79</v>
      </c>
    </row>
    <row r="14" spans="1:3" x14ac:dyDescent="0.25">
      <c r="A14" t="s">
        <v>586</v>
      </c>
      <c r="B14" t="s">
        <v>772</v>
      </c>
      <c r="C14" t="s">
        <v>53</v>
      </c>
    </row>
    <row r="15" spans="1:3" x14ac:dyDescent="0.25">
      <c r="A15" t="s">
        <v>779</v>
      </c>
      <c r="B15" t="s">
        <v>772</v>
      </c>
      <c r="C15" t="s">
        <v>79</v>
      </c>
    </row>
    <row r="16" spans="1:3" x14ac:dyDescent="0.25">
      <c r="A16" t="s">
        <v>587</v>
      </c>
      <c r="B16" t="s">
        <v>772</v>
      </c>
      <c r="C16" t="s">
        <v>68</v>
      </c>
    </row>
    <row r="17" spans="1:3" x14ac:dyDescent="0.25">
      <c r="A17" t="s">
        <v>588</v>
      </c>
      <c r="B17" t="s">
        <v>772</v>
      </c>
      <c r="C17" t="s">
        <v>60</v>
      </c>
    </row>
    <row r="18" spans="1:3" x14ac:dyDescent="0.25">
      <c r="A18" t="s">
        <v>589</v>
      </c>
      <c r="B18" t="s">
        <v>772</v>
      </c>
      <c r="C18" t="s">
        <v>17</v>
      </c>
    </row>
    <row r="19" spans="1:3" x14ac:dyDescent="0.25">
      <c r="A19" t="s">
        <v>590</v>
      </c>
      <c r="B19" t="s">
        <v>772</v>
      </c>
      <c r="C19" t="s">
        <v>984</v>
      </c>
    </row>
    <row r="20" spans="1:3" x14ac:dyDescent="0.25">
      <c r="A20" t="s">
        <v>591</v>
      </c>
      <c r="B20" t="s">
        <v>780</v>
      </c>
      <c r="C20" t="s">
        <v>985</v>
      </c>
    </row>
    <row r="21" spans="1:3" x14ac:dyDescent="0.25">
      <c r="A21" t="s">
        <v>781</v>
      </c>
      <c r="B21" t="s">
        <v>780</v>
      </c>
      <c r="C21" t="s">
        <v>27</v>
      </c>
    </row>
    <row r="22" spans="1:3" x14ac:dyDescent="0.25">
      <c r="A22" t="s">
        <v>592</v>
      </c>
      <c r="B22" t="s">
        <v>780</v>
      </c>
      <c r="C22" t="s">
        <v>61</v>
      </c>
    </row>
    <row r="23" spans="1:3" x14ac:dyDescent="0.25">
      <c r="A23" t="s">
        <v>594</v>
      </c>
      <c r="B23" t="s">
        <v>780</v>
      </c>
      <c r="C23" t="s">
        <v>593</v>
      </c>
    </row>
    <row r="24" spans="1:3" x14ac:dyDescent="0.25">
      <c r="A24" t="s">
        <v>782</v>
      </c>
      <c r="B24" t="s">
        <v>783</v>
      </c>
      <c r="C24" t="s">
        <v>784</v>
      </c>
    </row>
    <row r="25" spans="1:3" x14ac:dyDescent="0.25">
      <c r="A25" t="s">
        <v>982</v>
      </c>
      <c r="B25" t="s">
        <v>783</v>
      </c>
      <c r="C25" t="s">
        <v>785</v>
      </c>
    </row>
    <row r="26" spans="1:3" x14ac:dyDescent="0.25">
      <c r="A26" t="s">
        <v>983</v>
      </c>
      <c r="B26" t="s">
        <v>783</v>
      </c>
      <c r="C26" t="s">
        <v>785</v>
      </c>
    </row>
    <row r="27" spans="1:3" x14ac:dyDescent="0.25">
      <c r="A27" t="s">
        <v>786</v>
      </c>
      <c r="B27" t="s">
        <v>783</v>
      </c>
      <c r="C27" t="s">
        <v>787</v>
      </c>
    </row>
    <row r="28" spans="1:3" x14ac:dyDescent="0.25">
      <c r="A28" t="s">
        <v>595</v>
      </c>
      <c r="B28" t="s">
        <v>783</v>
      </c>
      <c r="C28" t="s">
        <v>788</v>
      </c>
    </row>
    <row r="29" spans="1:3" x14ac:dyDescent="0.25">
      <c r="A29" t="s">
        <v>789</v>
      </c>
      <c r="B29" t="s">
        <v>783</v>
      </c>
      <c r="C29" t="s">
        <v>790</v>
      </c>
    </row>
    <row r="30" spans="1:3" x14ac:dyDescent="0.25">
      <c r="A30" t="s">
        <v>791</v>
      </c>
      <c r="B30" t="s">
        <v>783</v>
      </c>
      <c r="C30" t="s">
        <v>792</v>
      </c>
    </row>
    <row r="31" spans="1:3" x14ac:dyDescent="0.25">
      <c r="A31" t="s">
        <v>596</v>
      </c>
      <c r="B31" t="s">
        <v>783</v>
      </c>
      <c r="C31" t="s">
        <v>793</v>
      </c>
    </row>
    <row r="32" spans="1:3" x14ac:dyDescent="0.25">
      <c r="A32" t="s">
        <v>597</v>
      </c>
      <c r="B32" t="s">
        <v>783</v>
      </c>
      <c r="C32" t="s">
        <v>794</v>
      </c>
    </row>
    <row r="33" spans="1:3" x14ac:dyDescent="0.25">
      <c r="A33" t="s">
        <v>795</v>
      </c>
      <c r="B33" t="s">
        <v>783</v>
      </c>
      <c r="C33" t="s">
        <v>796</v>
      </c>
    </row>
    <row r="34" spans="1:3" x14ac:dyDescent="0.25">
      <c r="A34" t="s">
        <v>598</v>
      </c>
      <c r="B34" t="s">
        <v>783</v>
      </c>
      <c r="C34" t="s">
        <v>797</v>
      </c>
    </row>
    <row r="35" spans="1:3" x14ac:dyDescent="0.25">
      <c r="A35" t="s">
        <v>599</v>
      </c>
      <c r="B35" t="s">
        <v>783</v>
      </c>
      <c r="C35" t="s">
        <v>798</v>
      </c>
    </row>
    <row r="36" spans="1:3" x14ac:dyDescent="0.25">
      <c r="A36" t="s">
        <v>600</v>
      </c>
      <c r="B36" t="s">
        <v>783</v>
      </c>
      <c r="C36" t="s">
        <v>799</v>
      </c>
    </row>
    <row r="37" spans="1:3" x14ac:dyDescent="0.25">
      <c r="A37" t="s">
        <v>800</v>
      </c>
      <c r="B37" t="s">
        <v>783</v>
      </c>
      <c r="C37" t="s">
        <v>801</v>
      </c>
    </row>
    <row r="38" spans="1:3" x14ac:dyDescent="0.25">
      <c r="A38" t="s">
        <v>802</v>
      </c>
      <c r="B38" t="s">
        <v>783</v>
      </c>
      <c r="C38" t="s">
        <v>980</v>
      </c>
    </row>
    <row r="39" spans="1:3" x14ac:dyDescent="0.25">
      <c r="A39" t="s">
        <v>601</v>
      </c>
      <c r="B39" t="s">
        <v>783</v>
      </c>
      <c r="C39" t="s">
        <v>803</v>
      </c>
    </row>
    <row r="40" spans="1:3" x14ac:dyDescent="0.25">
      <c r="A40" t="s">
        <v>602</v>
      </c>
      <c r="B40" t="s">
        <v>783</v>
      </c>
      <c r="C40" t="s">
        <v>804</v>
      </c>
    </row>
    <row r="41" spans="1:3" x14ac:dyDescent="0.25">
      <c r="A41" t="s">
        <v>805</v>
      </c>
      <c r="B41" t="s">
        <v>783</v>
      </c>
      <c r="C41" t="s">
        <v>806</v>
      </c>
    </row>
    <row r="42" spans="1:3" x14ac:dyDescent="0.25">
      <c r="A42" t="s">
        <v>603</v>
      </c>
      <c r="B42" t="s">
        <v>783</v>
      </c>
      <c r="C42" t="s">
        <v>807</v>
      </c>
    </row>
    <row r="43" spans="1:3" x14ac:dyDescent="0.25">
      <c r="A43" t="s">
        <v>808</v>
      </c>
      <c r="B43" t="s">
        <v>783</v>
      </c>
      <c r="C43" t="s">
        <v>809</v>
      </c>
    </row>
    <row r="44" spans="1:3" x14ac:dyDescent="0.25">
      <c r="A44" t="s">
        <v>810</v>
      </c>
      <c r="B44" t="s">
        <v>783</v>
      </c>
      <c r="C44" t="s">
        <v>811</v>
      </c>
    </row>
    <row r="45" spans="1:3" x14ac:dyDescent="0.25">
      <c r="A45" t="s">
        <v>812</v>
      </c>
      <c r="B45" t="s">
        <v>783</v>
      </c>
      <c r="C45" t="s">
        <v>813</v>
      </c>
    </row>
    <row r="46" spans="1:3" x14ac:dyDescent="0.25">
      <c r="A46" t="s">
        <v>814</v>
      </c>
      <c r="B46" t="s">
        <v>783</v>
      </c>
      <c r="C46" t="s">
        <v>815</v>
      </c>
    </row>
    <row r="47" spans="1:3" x14ac:dyDescent="0.25">
      <c r="A47" t="s">
        <v>816</v>
      </c>
      <c r="B47" t="s">
        <v>783</v>
      </c>
      <c r="C47" t="s">
        <v>817</v>
      </c>
    </row>
    <row r="48" spans="1:3" x14ac:dyDescent="0.25">
      <c r="A48" t="s">
        <v>818</v>
      </c>
      <c r="B48" t="s">
        <v>783</v>
      </c>
      <c r="C48" t="s">
        <v>819</v>
      </c>
    </row>
    <row r="49" spans="1:3" x14ac:dyDescent="0.25">
      <c r="A49" t="s">
        <v>604</v>
      </c>
      <c r="B49" t="s">
        <v>783</v>
      </c>
      <c r="C49" t="s">
        <v>820</v>
      </c>
    </row>
    <row r="50" spans="1:3" x14ac:dyDescent="0.25">
      <c r="A50" t="s">
        <v>605</v>
      </c>
      <c r="B50" t="s">
        <v>783</v>
      </c>
      <c r="C50" t="s">
        <v>821</v>
      </c>
    </row>
    <row r="51" spans="1:3" x14ac:dyDescent="0.25">
      <c r="A51" t="s">
        <v>606</v>
      </c>
      <c r="B51" t="s">
        <v>783</v>
      </c>
      <c r="C51" t="s">
        <v>822</v>
      </c>
    </row>
    <row r="52" spans="1:3" x14ac:dyDescent="0.25">
      <c r="A52" t="s">
        <v>607</v>
      </c>
      <c r="B52" t="s">
        <v>783</v>
      </c>
      <c r="C52" t="s">
        <v>823</v>
      </c>
    </row>
    <row r="53" spans="1:3" x14ac:dyDescent="0.25">
      <c r="A53" t="s">
        <v>824</v>
      </c>
      <c r="B53" t="s">
        <v>783</v>
      </c>
      <c r="C53" t="s">
        <v>825</v>
      </c>
    </row>
    <row r="54" spans="1:3" x14ac:dyDescent="0.25">
      <c r="A54" t="s">
        <v>826</v>
      </c>
      <c r="B54" t="s">
        <v>783</v>
      </c>
      <c r="C54" t="s">
        <v>827</v>
      </c>
    </row>
    <row r="55" spans="1:3" x14ac:dyDescent="0.25">
      <c r="A55" t="s">
        <v>828</v>
      </c>
      <c r="B55" t="s">
        <v>783</v>
      </c>
      <c r="C55" t="s">
        <v>829</v>
      </c>
    </row>
    <row r="56" spans="1:3" x14ac:dyDescent="0.25">
      <c r="A56" t="s">
        <v>608</v>
      </c>
      <c r="B56" t="s">
        <v>783</v>
      </c>
      <c r="C56" t="s">
        <v>830</v>
      </c>
    </row>
    <row r="57" spans="1:3" x14ac:dyDescent="0.25">
      <c r="A57" t="s">
        <v>609</v>
      </c>
      <c r="B57" t="s">
        <v>783</v>
      </c>
      <c r="C57" t="s">
        <v>831</v>
      </c>
    </row>
    <row r="58" spans="1:3" x14ac:dyDescent="0.25">
      <c r="A58" t="s">
        <v>832</v>
      </c>
      <c r="B58" t="s">
        <v>783</v>
      </c>
      <c r="C58" t="s">
        <v>833</v>
      </c>
    </row>
    <row r="59" spans="1:3" x14ac:dyDescent="0.25">
      <c r="A59" t="s">
        <v>834</v>
      </c>
      <c r="B59" t="s">
        <v>783</v>
      </c>
      <c r="C59" t="s">
        <v>835</v>
      </c>
    </row>
    <row r="60" spans="1:3" x14ac:dyDescent="0.25">
      <c r="A60" t="s">
        <v>610</v>
      </c>
      <c r="B60" t="s">
        <v>783</v>
      </c>
      <c r="C60" t="s">
        <v>836</v>
      </c>
    </row>
    <row r="61" spans="1:3" x14ac:dyDescent="0.25">
      <c r="A61" t="s">
        <v>612</v>
      </c>
      <c r="B61" t="s">
        <v>837</v>
      </c>
      <c r="C61" t="s">
        <v>68</v>
      </c>
    </row>
    <row r="62" spans="1:3" x14ac:dyDescent="0.25">
      <c r="A62" t="s">
        <v>838</v>
      </c>
      <c r="B62" t="s">
        <v>837</v>
      </c>
      <c r="C62" t="s">
        <v>79</v>
      </c>
    </row>
    <row r="63" spans="1:3" x14ac:dyDescent="0.25">
      <c r="A63" t="s">
        <v>611</v>
      </c>
      <c r="B63" t="s">
        <v>837</v>
      </c>
      <c r="C63" t="s">
        <v>53</v>
      </c>
    </row>
    <row r="64" spans="1:3" x14ac:dyDescent="0.25">
      <c r="A64" t="s">
        <v>613</v>
      </c>
      <c r="B64" t="s">
        <v>837</v>
      </c>
      <c r="C64" t="s">
        <v>55</v>
      </c>
    </row>
    <row r="65" spans="1:3" x14ac:dyDescent="0.25">
      <c r="A65" t="s">
        <v>614</v>
      </c>
      <c r="B65" t="s">
        <v>839</v>
      </c>
      <c r="C65" t="s">
        <v>61</v>
      </c>
    </row>
    <row r="66" spans="1:3" x14ac:dyDescent="0.25">
      <c r="A66" t="s">
        <v>616</v>
      </c>
      <c r="B66" t="s">
        <v>840</v>
      </c>
      <c r="C66" t="s">
        <v>17</v>
      </c>
    </row>
    <row r="67" spans="1:3" x14ac:dyDescent="0.25">
      <c r="A67" t="s">
        <v>615</v>
      </c>
      <c r="B67" t="s">
        <v>840</v>
      </c>
      <c r="C67" t="s">
        <v>841</v>
      </c>
    </row>
    <row r="68" spans="1:3" x14ac:dyDescent="0.25">
      <c r="A68" t="s">
        <v>617</v>
      </c>
      <c r="B68" t="s">
        <v>842</v>
      </c>
      <c r="C68" t="s">
        <v>843</v>
      </c>
    </row>
    <row r="69" spans="1:3" x14ac:dyDescent="0.25">
      <c r="A69" t="s">
        <v>844</v>
      </c>
      <c r="B69" t="s">
        <v>842</v>
      </c>
      <c r="C69" t="s">
        <v>55</v>
      </c>
    </row>
    <row r="70" spans="1:3" x14ac:dyDescent="0.25">
      <c r="A70" t="s">
        <v>845</v>
      </c>
      <c r="B70" t="s">
        <v>842</v>
      </c>
      <c r="C70" t="s">
        <v>43</v>
      </c>
    </row>
    <row r="71" spans="1:3" x14ac:dyDescent="0.25">
      <c r="A71" t="s">
        <v>846</v>
      </c>
      <c r="B71" t="s">
        <v>842</v>
      </c>
      <c r="C71" t="s">
        <v>847</v>
      </c>
    </row>
    <row r="72" spans="1:3" x14ac:dyDescent="0.25">
      <c r="A72" t="s">
        <v>618</v>
      </c>
      <c r="B72" t="s">
        <v>842</v>
      </c>
      <c r="C72" t="s">
        <v>61</v>
      </c>
    </row>
    <row r="73" spans="1:3" x14ac:dyDescent="0.25">
      <c r="A73" t="s">
        <v>848</v>
      </c>
      <c r="B73" t="s">
        <v>842</v>
      </c>
      <c r="C73" t="s">
        <v>849</v>
      </c>
    </row>
    <row r="74" spans="1:3" x14ac:dyDescent="0.25">
      <c r="A74" t="s">
        <v>850</v>
      </c>
      <c r="B74" t="s">
        <v>842</v>
      </c>
      <c r="C74" t="s">
        <v>17</v>
      </c>
    </row>
    <row r="75" spans="1:3" x14ac:dyDescent="0.25">
      <c r="A75" t="s">
        <v>851</v>
      </c>
      <c r="B75" t="s">
        <v>842</v>
      </c>
      <c r="C75" t="s">
        <v>68</v>
      </c>
    </row>
    <row r="76" spans="1:3" x14ac:dyDescent="0.25">
      <c r="A76" t="s">
        <v>852</v>
      </c>
      <c r="B76" t="s">
        <v>842</v>
      </c>
      <c r="C76" t="s">
        <v>79</v>
      </c>
    </row>
    <row r="77" spans="1:3" x14ac:dyDescent="0.25">
      <c r="A77" t="s">
        <v>853</v>
      </c>
      <c r="B77" t="s">
        <v>842</v>
      </c>
      <c r="C77" t="s">
        <v>39</v>
      </c>
    </row>
    <row r="78" spans="1:3" x14ac:dyDescent="0.25">
      <c r="A78" t="s">
        <v>619</v>
      </c>
      <c r="B78" t="s">
        <v>854</v>
      </c>
      <c r="C78" t="s">
        <v>620</v>
      </c>
    </row>
    <row r="79" spans="1:3" x14ac:dyDescent="0.25">
      <c r="A79" t="s">
        <v>622</v>
      </c>
      <c r="B79" t="s">
        <v>854</v>
      </c>
      <c r="C79" t="s">
        <v>51</v>
      </c>
    </row>
    <row r="80" spans="1:3" x14ac:dyDescent="0.25">
      <c r="A80" t="s">
        <v>621</v>
      </c>
      <c r="B80" t="s">
        <v>854</v>
      </c>
      <c r="C80" t="s">
        <v>133</v>
      </c>
    </row>
    <row r="81" spans="1:3" x14ac:dyDescent="0.25">
      <c r="A81" t="s">
        <v>623</v>
      </c>
      <c r="B81" t="s">
        <v>854</v>
      </c>
      <c r="C81" t="s">
        <v>624</v>
      </c>
    </row>
    <row r="82" spans="1:3" x14ac:dyDescent="0.25">
      <c r="A82" t="s">
        <v>855</v>
      </c>
      <c r="B82" t="s">
        <v>854</v>
      </c>
      <c r="C82" t="s">
        <v>986</v>
      </c>
    </row>
    <row r="83" spans="1:3" x14ac:dyDescent="0.25">
      <c r="A83" t="s">
        <v>625</v>
      </c>
      <c r="B83" t="s">
        <v>854</v>
      </c>
      <c r="C83" t="s">
        <v>17</v>
      </c>
    </row>
    <row r="84" spans="1:3" x14ac:dyDescent="0.25">
      <c r="A84" t="s">
        <v>626</v>
      </c>
      <c r="B84" t="s">
        <v>854</v>
      </c>
      <c r="C84" t="s">
        <v>987</v>
      </c>
    </row>
    <row r="85" spans="1:3" x14ac:dyDescent="0.25">
      <c r="A85" t="s">
        <v>627</v>
      </c>
      <c r="B85" t="s">
        <v>854</v>
      </c>
      <c r="C85" t="s">
        <v>628</v>
      </c>
    </row>
    <row r="86" spans="1:3" x14ac:dyDescent="0.25">
      <c r="A86" t="s">
        <v>630</v>
      </c>
      <c r="B86" t="s">
        <v>854</v>
      </c>
      <c r="C86" t="s">
        <v>988</v>
      </c>
    </row>
    <row r="87" spans="1:3" x14ac:dyDescent="0.25">
      <c r="A87" t="s">
        <v>629</v>
      </c>
      <c r="B87" t="s">
        <v>854</v>
      </c>
      <c r="C87" t="s">
        <v>856</v>
      </c>
    </row>
    <row r="88" spans="1:3" x14ac:dyDescent="0.25">
      <c r="A88" t="s">
        <v>631</v>
      </c>
      <c r="B88" t="s">
        <v>854</v>
      </c>
      <c r="C88" t="s">
        <v>857</v>
      </c>
    </row>
    <row r="89" spans="1:3" x14ac:dyDescent="0.25">
      <c r="A89" t="s">
        <v>858</v>
      </c>
      <c r="B89" t="s">
        <v>854</v>
      </c>
      <c r="C89" t="s">
        <v>859</v>
      </c>
    </row>
    <row r="90" spans="1:3" x14ac:dyDescent="0.25">
      <c r="A90" t="s">
        <v>632</v>
      </c>
      <c r="B90" t="s">
        <v>854</v>
      </c>
      <c r="C90" t="s">
        <v>55</v>
      </c>
    </row>
    <row r="91" spans="1:3" x14ac:dyDescent="0.25">
      <c r="A91" t="s">
        <v>633</v>
      </c>
      <c r="B91" t="s">
        <v>854</v>
      </c>
      <c r="C91" t="s">
        <v>55</v>
      </c>
    </row>
    <row r="92" spans="1:3" x14ac:dyDescent="0.25">
      <c r="A92" t="s">
        <v>634</v>
      </c>
      <c r="B92" t="s">
        <v>854</v>
      </c>
      <c r="C92" t="s">
        <v>68</v>
      </c>
    </row>
    <row r="93" spans="1:3" x14ac:dyDescent="0.25">
      <c r="A93" t="s">
        <v>635</v>
      </c>
      <c r="B93" t="s">
        <v>860</v>
      </c>
      <c r="C93" t="s">
        <v>989</v>
      </c>
    </row>
    <row r="94" spans="1:3" x14ac:dyDescent="0.25">
      <c r="A94" t="s">
        <v>861</v>
      </c>
      <c r="B94" t="s">
        <v>862</v>
      </c>
      <c r="C94" t="s">
        <v>863</v>
      </c>
    </row>
    <row r="95" spans="1:3" x14ac:dyDescent="0.25">
      <c r="A95" t="s">
        <v>636</v>
      </c>
      <c r="B95" t="s">
        <v>864</v>
      </c>
      <c r="C95" t="s">
        <v>27</v>
      </c>
    </row>
    <row r="96" spans="1:3" x14ac:dyDescent="0.25">
      <c r="A96" t="s">
        <v>637</v>
      </c>
      <c r="B96" t="s">
        <v>864</v>
      </c>
      <c r="C96" t="s">
        <v>990</v>
      </c>
    </row>
    <row r="97" spans="1:3" x14ac:dyDescent="0.25">
      <c r="A97" t="s">
        <v>638</v>
      </c>
      <c r="B97" t="s">
        <v>865</v>
      </c>
      <c r="C97" t="s">
        <v>42</v>
      </c>
    </row>
    <row r="98" spans="1:3" x14ac:dyDescent="0.25">
      <c r="A98" t="s">
        <v>639</v>
      </c>
      <c r="B98" t="s">
        <v>865</v>
      </c>
      <c r="C98" t="s">
        <v>60</v>
      </c>
    </row>
    <row r="99" spans="1:3" x14ac:dyDescent="0.25">
      <c r="A99" t="s">
        <v>640</v>
      </c>
      <c r="B99" t="s">
        <v>866</v>
      </c>
      <c r="C99" t="s">
        <v>61</v>
      </c>
    </row>
    <row r="100" spans="1:3" x14ac:dyDescent="0.25">
      <c r="A100" t="s">
        <v>867</v>
      </c>
      <c r="B100" t="s">
        <v>868</v>
      </c>
      <c r="C100" t="s">
        <v>991</v>
      </c>
    </row>
    <row r="101" spans="1:3" x14ac:dyDescent="0.25">
      <c r="A101" t="s">
        <v>869</v>
      </c>
      <c r="B101" t="s">
        <v>870</v>
      </c>
      <c r="C101" t="s">
        <v>992</v>
      </c>
    </row>
    <row r="102" spans="1:3" x14ac:dyDescent="0.25">
      <c r="A102" t="s">
        <v>641</v>
      </c>
      <c r="B102" t="s">
        <v>871</v>
      </c>
      <c r="C102" t="s">
        <v>642</v>
      </c>
    </row>
    <row r="103" spans="1:3" x14ac:dyDescent="0.25">
      <c r="A103" t="s">
        <v>643</v>
      </c>
      <c r="B103" t="s">
        <v>871</v>
      </c>
      <c r="C103" t="s">
        <v>642</v>
      </c>
    </row>
    <row r="104" spans="1:3" x14ac:dyDescent="0.25">
      <c r="A104" t="s">
        <v>644</v>
      </c>
      <c r="B104" t="s">
        <v>871</v>
      </c>
      <c r="C104" t="s">
        <v>645</v>
      </c>
    </row>
    <row r="105" spans="1:3" x14ac:dyDescent="0.25">
      <c r="A105" t="s">
        <v>646</v>
      </c>
      <c r="B105" t="s">
        <v>871</v>
      </c>
      <c r="C105" t="s">
        <v>647</v>
      </c>
    </row>
    <row r="106" spans="1:3" x14ac:dyDescent="0.25">
      <c r="A106" t="s">
        <v>872</v>
      </c>
      <c r="B106" t="s">
        <v>871</v>
      </c>
      <c r="C106" t="s">
        <v>993</v>
      </c>
    </row>
    <row r="107" spans="1:3" x14ac:dyDescent="0.25">
      <c r="A107" t="s">
        <v>648</v>
      </c>
      <c r="B107" t="s">
        <v>871</v>
      </c>
      <c r="C107" t="s">
        <v>994</v>
      </c>
    </row>
    <row r="108" spans="1:3" x14ac:dyDescent="0.25">
      <c r="A108" t="s">
        <v>649</v>
      </c>
      <c r="B108" t="s">
        <v>871</v>
      </c>
      <c r="C108" t="s">
        <v>650</v>
      </c>
    </row>
    <row r="109" spans="1:3" x14ac:dyDescent="0.25">
      <c r="A109" t="s">
        <v>651</v>
      </c>
      <c r="B109" t="s">
        <v>871</v>
      </c>
      <c r="C109" t="s">
        <v>995</v>
      </c>
    </row>
    <row r="110" spans="1:3" x14ac:dyDescent="0.25">
      <c r="A110" t="s">
        <v>761</v>
      </c>
      <c r="B110" t="s">
        <v>871</v>
      </c>
      <c r="C110" t="s">
        <v>652</v>
      </c>
    </row>
    <row r="111" spans="1:3" x14ac:dyDescent="0.25">
      <c r="A111" t="s">
        <v>873</v>
      </c>
      <c r="B111" t="s">
        <v>871</v>
      </c>
      <c r="C111" t="s">
        <v>874</v>
      </c>
    </row>
    <row r="112" spans="1:3" x14ac:dyDescent="0.25">
      <c r="A112" t="s">
        <v>653</v>
      </c>
      <c r="B112" t="s">
        <v>871</v>
      </c>
      <c r="C112" t="s">
        <v>17</v>
      </c>
    </row>
    <row r="113" spans="1:3" x14ac:dyDescent="0.25">
      <c r="A113" t="s">
        <v>875</v>
      </c>
      <c r="B113" t="s">
        <v>871</v>
      </c>
      <c r="C113" t="s">
        <v>876</v>
      </c>
    </row>
    <row r="114" spans="1:3" x14ac:dyDescent="0.25">
      <c r="A114" t="s">
        <v>654</v>
      </c>
      <c r="B114" t="s">
        <v>877</v>
      </c>
      <c r="C114" t="s">
        <v>655</v>
      </c>
    </row>
    <row r="115" spans="1:3" x14ac:dyDescent="0.25">
      <c r="A115" t="s">
        <v>656</v>
      </c>
      <c r="B115" t="s">
        <v>877</v>
      </c>
      <c r="C115" t="s">
        <v>650</v>
      </c>
    </row>
    <row r="116" spans="1:3" x14ac:dyDescent="0.25">
      <c r="A116" t="s">
        <v>657</v>
      </c>
      <c r="B116" t="s">
        <v>877</v>
      </c>
      <c r="C116" t="s">
        <v>878</v>
      </c>
    </row>
    <row r="117" spans="1:3" x14ac:dyDescent="0.25">
      <c r="A117" t="s">
        <v>658</v>
      </c>
      <c r="B117" t="s">
        <v>879</v>
      </c>
      <c r="C117" t="s">
        <v>659</v>
      </c>
    </row>
    <row r="118" spans="1:3" x14ac:dyDescent="0.25">
      <c r="A118" t="s">
        <v>660</v>
      </c>
      <c r="B118" t="s">
        <v>879</v>
      </c>
      <c r="C118" t="s">
        <v>42</v>
      </c>
    </row>
    <row r="119" spans="1:3" x14ac:dyDescent="0.25">
      <c r="A119" t="s">
        <v>880</v>
      </c>
      <c r="B119" t="s">
        <v>879</v>
      </c>
      <c r="C119" t="s">
        <v>996</v>
      </c>
    </row>
    <row r="120" spans="1:3" x14ac:dyDescent="0.25">
      <c r="A120" t="s">
        <v>661</v>
      </c>
      <c r="B120" t="s">
        <v>879</v>
      </c>
      <c r="C120" t="s">
        <v>43</v>
      </c>
    </row>
    <row r="121" spans="1:3" x14ac:dyDescent="0.25">
      <c r="A121" t="s">
        <v>662</v>
      </c>
      <c r="B121" t="s">
        <v>879</v>
      </c>
      <c r="C121" t="s">
        <v>663</v>
      </c>
    </row>
    <row r="122" spans="1:3" x14ac:dyDescent="0.25">
      <c r="A122" t="s">
        <v>881</v>
      </c>
      <c r="B122" t="s">
        <v>879</v>
      </c>
      <c r="C122" t="s">
        <v>43</v>
      </c>
    </row>
    <row r="123" spans="1:3" x14ac:dyDescent="0.25">
      <c r="A123" t="s">
        <v>664</v>
      </c>
      <c r="B123" t="s">
        <v>879</v>
      </c>
      <c r="C123" t="s">
        <v>100</v>
      </c>
    </row>
    <row r="124" spans="1:3" x14ac:dyDescent="0.25">
      <c r="A124" t="s">
        <v>665</v>
      </c>
      <c r="B124" t="s">
        <v>879</v>
      </c>
      <c r="C124" t="s">
        <v>997</v>
      </c>
    </row>
    <row r="125" spans="1:3" x14ac:dyDescent="0.25">
      <c r="A125" t="s">
        <v>674</v>
      </c>
      <c r="B125" t="s">
        <v>879</v>
      </c>
      <c r="C125" t="s">
        <v>997</v>
      </c>
    </row>
    <row r="126" spans="1:3" x14ac:dyDescent="0.25">
      <c r="A126" t="s">
        <v>666</v>
      </c>
      <c r="B126" t="s">
        <v>879</v>
      </c>
      <c r="C126" t="s">
        <v>997</v>
      </c>
    </row>
    <row r="127" spans="1:3" x14ac:dyDescent="0.25">
      <c r="A127" t="s">
        <v>667</v>
      </c>
      <c r="B127" t="s">
        <v>879</v>
      </c>
      <c r="C127" t="s">
        <v>998</v>
      </c>
    </row>
    <row r="128" spans="1:3" x14ac:dyDescent="0.25">
      <c r="A128" t="s">
        <v>669</v>
      </c>
      <c r="B128" t="s">
        <v>879</v>
      </c>
      <c r="C128" t="s">
        <v>999</v>
      </c>
    </row>
    <row r="129" spans="1:3" x14ac:dyDescent="0.25">
      <c r="A129" t="s">
        <v>668</v>
      </c>
      <c r="B129" t="s">
        <v>879</v>
      </c>
      <c r="C129" t="s">
        <v>698</v>
      </c>
    </row>
    <row r="130" spans="1:3" x14ac:dyDescent="0.25">
      <c r="A130" t="s">
        <v>882</v>
      </c>
      <c r="B130" t="s">
        <v>879</v>
      </c>
      <c r="C130" t="s">
        <v>1000</v>
      </c>
    </row>
    <row r="131" spans="1:3" x14ac:dyDescent="0.25">
      <c r="A131" t="s">
        <v>670</v>
      </c>
      <c r="B131" t="s">
        <v>879</v>
      </c>
      <c r="C131" t="s">
        <v>1001</v>
      </c>
    </row>
    <row r="132" spans="1:3" x14ac:dyDescent="0.25">
      <c r="A132" t="s">
        <v>671</v>
      </c>
      <c r="B132" t="s">
        <v>879</v>
      </c>
      <c r="C132" t="s">
        <v>1002</v>
      </c>
    </row>
    <row r="133" spans="1:3" x14ac:dyDescent="0.25">
      <c r="A133" t="s">
        <v>672</v>
      </c>
      <c r="B133" t="s">
        <v>879</v>
      </c>
      <c r="C133" t="s">
        <v>1003</v>
      </c>
    </row>
    <row r="134" spans="1:3" x14ac:dyDescent="0.25">
      <c r="A134" t="s">
        <v>673</v>
      </c>
      <c r="B134" t="s">
        <v>879</v>
      </c>
      <c r="C134" t="s">
        <v>1004</v>
      </c>
    </row>
    <row r="135" spans="1:3" x14ac:dyDescent="0.25">
      <c r="A135" t="s">
        <v>675</v>
      </c>
      <c r="B135" t="s">
        <v>879</v>
      </c>
      <c r="C135" t="s">
        <v>1005</v>
      </c>
    </row>
    <row r="136" spans="1:3" x14ac:dyDescent="0.25">
      <c r="A136" t="s">
        <v>676</v>
      </c>
      <c r="B136" t="s">
        <v>883</v>
      </c>
      <c r="C136" t="s">
        <v>884</v>
      </c>
    </row>
    <row r="137" spans="1:3" x14ac:dyDescent="0.25">
      <c r="A137" t="s">
        <v>679</v>
      </c>
      <c r="B137" t="s">
        <v>879</v>
      </c>
      <c r="C137" t="s">
        <v>1006</v>
      </c>
    </row>
    <row r="138" spans="1:3" x14ac:dyDescent="0.25">
      <c r="A138" t="s">
        <v>680</v>
      </c>
      <c r="B138" t="s">
        <v>879</v>
      </c>
      <c r="C138" t="s">
        <v>83</v>
      </c>
    </row>
    <row r="139" spans="1:3" x14ac:dyDescent="0.25">
      <c r="A139" t="s">
        <v>681</v>
      </c>
      <c r="B139" t="s">
        <v>879</v>
      </c>
      <c r="C139" t="s">
        <v>83</v>
      </c>
    </row>
    <row r="140" spans="1:3" x14ac:dyDescent="0.25">
      <c r="A140" t="s">
        <v>682</v>
      </c>
      <c r="B140" t="s">
        <v>879</v>
      </c>
      <c r="C140" t="s">
        <v>683</v>
      </c>
    </row>
    <row r="141" spans="1:3" x14ac:dyDescent="0.25">
      <c r="A141" t="s">
        <v>684</v>
      </c>
      <c r="B141" t="s">
        <v>879</v>
      </c>
      <c r="C141" t="s">
        <v>683</v>
      </c>
    </row>
    <row r="142" spans="1:3" x14ac:dyDescent="0.25">
      <c r="A142" t="s">
        <v>677</v>
      </c>
      <c r="B142" t="s">
        <v>879</v>
      </c>
      <c r="C142" t="s">
        <v>1007</v>
      </c>
    </row>
    <row r="143" spans="1:3" x14ac:dyDescent="0.25">
      <c r="A143" t="s">
        <v>678</v>
      </c>
      <c r="B143" t="s">
        <v>879</v>
      </c>
      <c r="C143" t="s">
        <v>1008</v>
      </c>
    </row>
    <row r="144" spans="1:3" x14ac:dyDescent="0.25">
      <c r="A144" t="s">
        <v>885</v>
      </c>
      <c r="B144" t="s">
        <v>879</v>
      </c>
      <c r="C144" t="s">
        <v>1009</v>
      </c>
    </row>
    <row r="145" spans="1:3" x14ac:dyDescent="0.25">
      <c r="A145" t="s">
        <v>319</v>
      </c>
      <c r="B145" t="s">
        <v>886</v>
      </c>
      <c r="C145" t="s">
        <v>1010</v>
      </c>
    </row>
    <row r="146" spans="1:3" x14ac:dyDescent="0.25">
      <c r="A146" t="s">
        <v>685</v>
      </c>
      <c r="B146" t="s">
        <v>887</v>
      </c>
      <c r="C146" t="s">
        <v>1011</v>
      </c>
    </row>
    <row r="147" spans="1:3" x14ac:dyDescent="0.25">
      <c r="A147" t="s">
        <v>888</v>
      </c>
      <c r="B147" t="s">
        <v>887</v>
      </c>
      <c r="C147" t="s">
        <v>1012</v>
      </c>
    </row>
    <row r="148" spans="1:3" x14ac:dyDescent="0.25">
      <c r="A148" t="s">
        <v>686</v>
      </c>
      <c r="B148" t="s">
        <v>889</v>
      </c>
      <c r="C148" t="s">
        <v>77</v>
      </c>
    </row>
    <row r="149" spans="1:3" x14ac:dyDescent="0.25">
      <c r="A149" t="s">
        <v>687</v>
      </c>
      <c r="B149" t="s">
        <v>890</v>
      </c>
      <c r="C149" t="s">
        <v>1013</v>
      </c>
    </row>
    <row r="150" spans="1:3" x14ac:dyDescent="0.25">
      <c r="A150" t="s">
        <v>688</v>
      </c>
      <c r="B150" t="s">
        <v>890</v>
      </c>
      <c r="C150" t="s">
        <v>77</v>
      </c>
    </row>
    <row r="151" spans="1:3" x14ac:dyDescent="0.25">
      <c r="A151" t="s">
        <v>689</v>
      </c>
      <c r="B151" t="s">
        <v>890</v>
      </c>
      <c r="C151" t="s">
        <v>1014</v>
      </c>
    </row>
    <row r="152" spans="1:3" x14ac:dyDescent="0.25">
      <c r="A152" t="s">
        <v>690</v>
      </c>
      <c r="B152" t="s">
        <v>890</v>
      </c>
      <c r="C152" t="s">
        <v>691</v>
      </c>
    </row>
    <row r="153" spans="1:3" x14ac:dyDescent="0.25">
      <c r="A153" t="s">
        <v>692</v>
      </c>
      <c r="B153" t="s">
        <v>890</v>
      </c>
      <c r="C153" t="s">
        <v>849</v>
      </c>
    </row>
    <row r="154" spans="1:3" x14ac:dyDescent="0.25">
      <c r="A154" t="s">
        <v>693</v>
      </c>
      <c r="B154" t="s">
        <v>890</v>
      </c>
      <c r="C154" t="s">
        <v>973</v>
      </c>
    </row>
    <row r="155" spans="1:3" x14ac:dyDescent="0.25">
      <c r="A155" t="s">
        <v>694</v>
      </c>
      <c r="B155" t="s">
        <v>890</v>
      </c>
      <c r="C155" t="s">
        <v>1015</v>
      </c>
    </row>
    <row r="156" spans="1:3" x14ac:dyDescent="0.25">
      <c r="A156" t="s">
        <v>762</v>
      </c>
      <c r="B156" t="s">
        <v>890</v>
      </c>
      <c r="C156" t="s">
        <v>1016</v>
      </c>
    </row>
    <row r="157" spans="1:3" x14ac:dyDescent="0.25">
      <c r="A157" t="s">
        <v>891</v>
      </c>
      <c r="B157" t="s">
        <v>892</v>
      </c>
      <c r="C157" t="s">
        <v>652</v>
      </c>
    </row>
    <row r="158" spans="1:3" x14ac:dyDescent="0.25">
      <c r="A158" t="s">
        <v>695</v>
      </c>
      <c r="B158" t="s">
        <v>892</v>
      </c>
      <c r="C158" t="s">
        <v>205</v>
      </c>
    </row>
    <row r="159" spans="1:3" x14ac:dyDescent="0.25">
      <c r="A159" t="s">
        <v>696</v>
      </c>
      <c r="B159" t="s">
        <v>892</v>
      </c>
      <c r="C159" t="s">
        <v>151</v>
      </c>
    </row>
    <row r="160" spans="1:3" x14ac:dyDescent="0.25">
      <c r="A160" t="s">
        <v>697</v>
      </c>
      <c r="B160" t="s">
        <v>892</v>
      </c>
      <c r="C160" t="s">
        <v>698</v>
      </c>
    </row>
    <row r="161" spans="1:3" x14ac:dyDescent="0.25">
      <c r="A161" t="s">
        <v>699</v>
      </c>
      <c r="B161" t="s">
        <v>892</v>
      </c>
      <c r="C161" t="s">
        <v>700</v>
      </c>
    </row>
    <row r="162" spans="1:3" x14ac:dyDescent="0.25">
      <c r="A162" t="s">
        <v>701</v>
      </c>
      <c r="B162" t="s">
        <v>892</v>
      </c>
      <c r="C162" t="s">
        <v>438</v>
      </c>
    </row>
    <row r="163" spans="1:3" x14ac:dyDescent="0.25">
      <c r="A163" t="s">
        <v>893</v>
      </c>
      <c r="B163" t="s">
        <v>892</v>
      </c>
      <c r="C163" t="s">
        <v>874</v>
      </c>
    </row>
    <row r="164" spans="1:3" x14ac:dyDescent="0.25">
      <c r="A164" t="s">
        <v>702</v>
      </c>
      <c r="B164" t="s">
        <v>892</v>
      </c>
      <c r="C164" t="s">
        <v>111</v>
      </c>
    </row>
    <row r="165" spans="1:3" x14ac:dyDescent="0.25">
      <c r="A165" t="s">
        <v>703</v>
      </c>
      <c r="B165" t="s">
        <v>892</v>
      </c>
      <c r="C165" t="s">
        <v>704</v>
      </c>
    </row>
    <row r="166" spans="1:3" x14ac:dyDescent="0.25">
      <c r="A166" t="s">
        <v>894</v>
      </c>
      <c r="B166" t="s">
        <v>895</v>
      </c>
      <c r="C166" t="s">
        <v>20</v>
      </c>
    </row>
    <row r="167" spans="1:3" x14ac:dyDescent="0.25">
      <c r="A167" t="s">
        <v>896</v>
      </c>
      <c r="B167" t="s">
        <v>895</v>
      </c>
      <c r="C167" t="s">
        <v>24</v>
      </c>
    </row>
    <row r="168" spans="1:3" x14ac:dyDescent="0.25">
      <c r="A168" t="s">
        <v>897</v>
      </c>
      <c r="B168" t="s">
        <v>895</v>
      </c>
      <c r="C168" t="s">
        <v>39</v>
      </c>
    </row>
    <row r="169" spans="1:3" x14ac:dyDescent="0.25">
      <c r="A169" t="s">
        <v>705</v>
      </c>
      <c r="B169" t="s">
        <v>895</v>
      </c>
      <c r="C169" t="s">
        <v>932</v>
      </c>
    </row>
    <row r="170" spans="1:3" x14ac:dyDescent="0.25">
      <c r="A170" t="s">
        <v>707</v>
      </c>
      <c r="B170" t="s">
        <v>895</v>
      </c>
      <c r="C170" t="s">
        <v>107</v>
      </c>
    </row>
    <row r="171" spans="1:3" x14ac:dyDescent="0.25">
      <c r="A171" t="s">
        <v>708</v>
      </c>
      <c r="B171" t="s">
        <v>895</v>
      </c>
      <c r="C171" t="s">
        <v>66</v>
      </c>
    </row>
    <row r="172" spans="1:3" x14ac:dyDescent="0.25">
      <c r="A172" t="s">
        <v>709</v>
      </c>
      <c r="B172" t="s">
        <v>895</v>
      </c>
      <c r="C172" t="s">
        <v>105</v>
      </c>
    </row>
    <row r="173" spans="1:3" x14ac:dyDescent="0.25">
      <c r="A173" t="s">
        <v>898</v>
      </c>
      <c r="B173" t="s">
        <v>895</v>
      </c>
      <c r="C173" t="s">
        <v>899</v>
      </c>
    </row>
    <row r="174" spans="1:3" x14ac:dyDescent="0.25">
      <c r="A174" t="s">
        <v>900</v>
      </c>
      <c r="B174" t="s">
        <v>895</v>
      </c>
      <c r="C174" t="s">
        <v>1017</v>
      </c>
    </row>
    <row r="175" spans="1:3" x14ac:dyDescent="0.25">
      <c r="A175" t="s">
        <v>706</v>
      </c>
      <c r="B175" t="s">
        <v>895</v>
      </c>
      <c r="C175" t="s">
        <v>107</v>
      </c>
    </row>
    <row r="176" spans="1:3" x14ac:dyDescent="0.25">
      <c r="A176" t="s">
        <v>901</v>
      </c>
      <c r="B176" t="s">
        <v>895</v>
      </c>
      <c r="C176" t="s">
        <v>1018</v>
      </c>
    </row>
    <row r="177" spans="1:3" x14ac:dyDescent="0.25">
      <c r="A177" t="s">
        <v>710</v>
      </c>
      <c r="B177" t="s">
        <v>895</v>
      </c>
      <c r="C177" t="s">
        <v>59</v>
      </c>
    </row>
    <row r="178" spans="1:3" x14ac:dyDescent="0.25">
      <c r="A178" t="s">
        <v>902</v>
      </c>
      <c r="B178" t="s">
        <v>895</v>
      </c>
      <c r="C178" t="s">
        <v>55</v>
      </c>
    </row>
    <row r="179" spans="1:3" x14ac:dyDescent="0.25">
      <c r="A179" t="s">
        <v>903</v>
      </c>
      <c r="B179" t="s">
        <v>895</v>
      </c>
      <c r="C179" t="s">
        <v>183</v>
      </c>
    </row>
    <row r="180" spans="1:3" x14ac:dyDescent="0.25">
      <c r="A180" t="s">
        <v>711</v>
      </c>
      <c r="B180" t="s">
        <v>895</v>
      </c>
      <c r="C180" t="s">
        <v>208</v>
      </c>
    </row>
    <row r="181" spans="1:3" x14ac:dyDescent="0.25">
      <c r="A181" t="s">
        <v>904</v>
      </c>
      <c r="B181" t="s">
        <v>895</v>
      </c>
      <c r="C181" t="s">
        <v>36</v>
      </c>
    </row>
    <row r="182" spans="1:3" x14ac:dyDescent="0.25">
      <c r="A182" t="s">
        <v>905</v>
      </c>
      <c r="B182" t="s">
        <v>895</v>
      </c>
      <c r="C182" t="s">
        <v>209</v>
      </c>
    </row>
    <row r="183" spans="1:3" x14ac:dyDescent="0.25">
      <c r="A183" t="s">
        <v>712</v>
      </c>
      <c r="B183" t="s">
        <v>895</v>
      </c>
      <c r="C183" t="s">
        <v>68</v>
      </c>
    </row>
    <row r="184" spans="1:3" x14ac:dyDescent="0.25">
      <c r="A184" t="s">
        <v>713</v>
      </c>
      <c r="B184" t="s">
        <v>895</v>
      </c>
      <c r="C184" t="s">
        <v>83</v>
      </c>
    </row>
    <row r="185" spans="1:3" x14ac:dyDescent="0.25">
      <c r="A185" t="s">
        <v>714</v>
      </c>
      <c r="B185" t="s">
        <v>895</v>
      </c>
      <c r="C185" t="s">
        <v>79</v>
      </c>
    </row>
    <row r="186" spans="1:3" x14ac:dyDescent="0.25">
      <c r="A186" t="s">
        <v>715</v>
      </c>
      <c r="B186" t="s">
        <v>895</v>
      </c>
      <c r="C186" t="s">
        <v>39</v>
      </c>
    </row>
    <row r="187" spans="1:3" x14ac:dyDescent="0.25">
      <c r="A187" t="s">
        <v>906</v>
      </c>
      <c r="B187" t="s">
        <v>907</v>
      </c>
      <c r="C187" t="s">
        <v>908</v>
      </c>
    </row>
    <row r="188" spans="1:3" x14ac:dyDescent="0.25">
      <c r="A188" t="s">
        <v>909</v>
      </c>
      <c r="B188" t="s">
        <v>907</v>
      </c>
      <c r="C188" t="s">
        <v>39</v>
      </c>
    </row>
    <row r="189" spans="1:3" x14ac:dyDescent="0.25">
      <c r="A189" t="s">
        <v>716</v>
      </c>
      <c r="B189" t="s">
        <v>907</v>
      </c>
      <c r="C189" t="s">
        <v>932</v>
      </c>
    </row>
    <row r="190" spans="1:3" x14ac:dyDescent="0.25">
      <c r="A190" t="s">
        <v>717</v>
      </c>
      <c r="B190" t="s">
        <v>907</v>
      </c>
      <c r="C190" t="s">
        <v>107</v>
      </c>
    </row>
    <row r="191" spans="1:3" x14ac:dyDescent="0.25">
      <c r="A191" t="s">
        <v>718</v>
      </c>
      <c r="B191" t="s">
        <v>907</v>
      </c>
      <c r="C191" t="s">
        <v>59</v>
      </c>
    </row>
    <row r="192" spans="1:3" x14ac:dyDescent="0.25">
      <c r="A192" t="s">
        <v>719</v>
      </c>
      <c r="B192" t="s">
        <v>907</v>
      </c>
      <c r="C192" t="s">
        <v>910</v>
      </c>
    </row>
    <row r="193" spans="1:3" x14ac:dyDescent="0.25">
      <c r="A193" t="s">
        <v>720</v>
      </c>
      <c r="B193" t="s">
        <v>907</v>
      </c>
      <c r="C193" t="s">
        <v>55</v>
      </c>
    </row>
    <row r="194" spans="1:3" x14ac:dyDescent="0.25">
      <c r="A194" t="s">
        <v>911</v>
      </c>
      <c r="B194" t="s">
        <v>907</v>
      </c>
      <c r="C194" t="s">
        <v>69</v>
      </c>
    </row>
    <row r="195" spans="1:3" x14ac:dyDescent="0.25">
      <c r="A195" t="s">
        <v>722</v>
      </c>
      <c r="B195" t="s">
        <v>907</v>
      </c>
      <c r="C195" t="s">
        <v>55</v>
      </c>
    </row>
    <row r="196" spans="1:3" x14ac:dyDescent="0.25">
      <c r="A196" t="s">
        <v>721</v>
      </c>
      <c r="B196" t="s">
        <v>907</v>
      </c>
      <c r="C196" t="s">
        <v>55</v>
      </c>
    </row>
    <row r="197" spans="1:3" x14ac:dyDescent="0.25">
      <c r="A197" t="s">
        <v>723</v>
      </c>
      <c r="B197" t="s">
        <v>907</v>
      </c>
      <c r="C197" t="s">
        <v>27</v>
      </c>
    </row>
    <row r="198" spans="1:3" x14ac:dyDescent="0.25">
      <c r="A198" t="s">
        <v>912</v>
      </c>
      <c r="B198" t="s">
        <v>907</v>
      </c>
      <c r="C198" t="s">
        <v>913</v>
      </c>
    </row>
    <row r="199" spans="1:3" x14ac:dyDescent="0.25">
      <c r="A199" t="s">
        <v>914</v>
      </c>
      <c r="B199" t="s">
        <v>907</v>
      </c>
      <c r="C199" t="s">
        <v>208</v>
      </c>
    </row>
    <row r="200" spans="1:3" x14ac:dyDescent="0.25">
      <c r="A200" t="s">
        <v>724</v>
      </c>
      <c r="B200" t="s">
        <v>907</v>
      </c>
      <c r="C200" t="s">
        <v>36</v>
      </c>
    </row>
    <row r="201" spans="1:3" x14ac:dyDescent="0.25">
      <c r="A201" t="s">
        <v>725</v>
      </c>
      <c r="B201" t="s">
        <v>907</v>
      </c>
      <c r="C201" t="s">
        <v>17</v>
      </c>
    </row>
    <row r="202" spans="1:3" x14ac:dyDescent="0.25">
      <c r="A202" t="s">
        <v>915</v>
      </c>
      <c r="B202" t="s">
        <v>916</v>
      </c>
      <c r="C202" t="s">
        <v>39</v>
      </c>
    </row>
    <row r="203" spans="1:3" x14ac:dyDescent="0.25">
      <c r="A203" t="s">
        <v>726</v>
      </c>
      <c r="B203" t="s">
        <v>916</v>
      </c>
      <c r="C203" t="s">
        <v>932</v>
      </c>
    </row>
    <row r="204" spans="1:3" x14ac:dyDescent="0.25">
      <c r="A204" t="s">
        <v>917</v>
      </c>
      <c r="B204" t="s">
        <v>916</v>
      </c>
      <c r="C204" t="s">
        <v>55</v>
      </c>
    </row>
    <row r="205" spans="1:3" x14ac:dyDescent="0.25">
      <c r="A205" t="s">
        <v>918</v>
      </c>
      <c r="B205" t="s">
        <v>916</v>
      </c>
      <c r="C205" t="s">
        <v>55</v>
      </c>
    </row>
    <row r="206" spans="1:3" x14ac:dyDescent="0.25">
      <c r="A206" t="s">
        <v>919</v>
      </c>
      <c r="B206" t="s">
        <v>916</v>
      </c>
      <c r="C206" t="s">
        <v>61</v>
      </c>
    </row>
    <row r="207" spans="1:3" x14ac:dyDescent="0.25">
      <c r="A207" t="s">
        <v>727</v>
      </c>
      <c r="B207" t="s">
        <v>916</v>
      </c>
      <c r="C207" t="s">
        <v>68</v>
      </c>
    </row>
    <row r="208" spans="1:3" x14ac:dyDescent="0.25">
      <c r="A208" t="s">
        <v>728</v>
      </c>
      <c r="B208" t="s">
        <v>916</v>
      </c>
      <c r="C208" t="s">
        <v>83</v>
      </c>
    </row>
    <row r="209" spans="1:3" x14ac:dyDescent="0.25">
      <c r="A209" t="s">
        <v>729</v>
      </c>
      <c r="B209" t="s">
        <v>895</v>
      </c>
      <c r="C209" t="s">
        <v>79</v>
      </c>
    </row>
    <row r="210" spans="1:3" x14ac:dyDescent="0.25">
      <c r="A210" t="s">
        <v>920</v>
      </c>
      <c r="B210" t="s">
        <v>895</v>
      </c>
      <c r="C210" t="s">
        <v>100</v>
      </c>
    </row>
    <row r="211" spans="1:3" x14ac:dyDescent="0.25">
      <c r="A211" t="s">
        <v>730</v>
      </c>
      <c r="B211" t="s">
        <v>895</v>
      </c>
      <c r="C211" t="s">
        <v>36</v>
      </c>
    </row>
    <row r="212" spans="1:3" x14ac:dyDescent="0.25">
      <c r="A212" t="s">
        <v>921</v>
      </c>
      <c r="B212" t="s">
        <v>895</v>
      </c>
      <c r="C212" t="s">
        <v>120</v>
      </c>
    </row>
    <row r="213" spans="1:3" x14ac:dyDescent="0.25">
      <c r="A213" t="s">
        <v>922</v>
      </c>
      <c r="B213" t="s">
        <v>895</v>
      </c>
      <c r="C213" t="s">
        <v>120</v>
      </c>
    </row>
    <row r="214" spans="1:3" x14ac:dyDescent="0.25">
      <c r="A214" t="s">
        <v>923</v>
      </c>
      <c r="B214" t="s">
        <v>895</v>
      </c>
      <c r="C214" t="s">
        <v>55</v>
      </c>
    </row>
    <row r="215" spans="1:3" x14ac:dyDescent="0.25">
      <c r="A215" t="s">
        <v>731</v>
      </c>
      <c r="B215" t="s">
        <v>895</v>
      </c>
      <c r="C215" t="s">
        <v>17</v>
      </c>
    </row>
    <row r="216" spans="1:3" x14ac:dyDescent="0.25">
      <c r="A216" t="s">
        <v>732</v>
      </c>
      <c r="B216" t="s">
        <v>895</v>
      </c>
      <c r="C216" t="s">
        <v>43</v>
      </c>
    </row>
    <row r="217" spans="1:3" x14ac:dyDescent="0.25">
      <c r="A217" t="s">
        <v>924</v>
      </c>
      <c r="B217" t="s">
        <v>895</v>
      </c>
      <c r="C217" t="s">
        <v>55</v>
      </c>
    </row>
    <row r="218" spans="1:3" x14ac:dyDescent="0.25">
      <c r="A218" t="s">
        <v>925</v>
      </c>
      <c r="B218" t="s">
        <v>895</v>
      </c>
      <c r="C218" t="s">
        <v>55</v>
      </c>
    </row>
    <row r="219" spans="1:3" x14ac:dyDescent="0.25">
      <c r="A219" t="s">
        <v>733</v>
      </c>
      <c r="B219" t="s">
        <v>895</v>
      </c>
      <c r="C219" t="s">
        <v>208</v>
      </c>
    </row>
    <row r="220" spans="1:3" x14ac:dyDescent="0.25">
      <c r="A220" t="s">
        <v>734</v>
      </c>
      <c r="B220" t="s">
        <v>895</v>
      </c>
      <c r="C220" t="s">
        <v>68</v>
      </c>
    </row>
    <row r="221" spans="1:3" x14ac:dyDescent="0.25">
      <c r="A221" t="s">
        <v>926</v>
      </c>
      <c r="B221" t="s">
        <v>895</v>
      </c>
      <c r="C221" t="s">
        <v>27</v>
      </c>
    </row>
    <row r="222" spans="1:3" x14ac:dyDescent="0.25">
      <c r="A222" t="s">
        <v>735</v>
      </c>
      <c r="B222" t="s">
        <v>895</v>
      </c>
      <c r="C222" t="s">
        <v>27</v>
      </c>
    </row>
    <row r="223" spans="1:3" x14ac:dyDescent="0.25">
      <c r="A223" t="s">
        <v>736</v>
      </c>
      <c r="B223" t="s">
        <v>895</v>
      </c>
      <c r="C223" t="s">
        <v>17</v>
      </c>
    </row>
    <row r="224" spans="1:3" x14ac:dyDescent="0.25">
      <c r="A224" t="s">
        <v>927</v>
      </c>
      <c r="B224" t="s">
        <v>895</v>
      </c>
      <c r="C224" t="s">
        <v>43</v>
      </c>
    </row>
    <row r="225" spans="1:3" x14ac:dyDescent="0.25">
      <c r="A225" t="s">
        <v>928</v>
      </c>
      <c r="B225" t="s">
        <v>895</v>
      </c>
      <c r="C225" t="s">
        <v>981</v>
      </c>
    </row>
    <row r="226" spans="1:3" x14ac:dyDescent="0.25">
      <c r="A226" t="s">
        <v>737</v>
      </c>
      <c r="B226" t="s">
        <v>895</v>
      </c>
      <c r="C226" t="s">
        <v>1019</v>
      </c>
    </row>
    <row r="227" spans="1:3" x14ac:dyDescent="0.25">
      <c r="A227">
        <v>55</v>
      </c>
      <c r="B227" t="s">
        <v>895</v>
      </c>
      <c r="C227" t="s">
        <v>100</v>
      </c>
    </row>
    <row r="228" spans="1:3" x14ac:dyDescent="0.25">
      <c r="A228" t="s">
        <v>929</v>
      </c>
      <c r="B228" t="s">
        <v>930</v>
      </c>
      <c r="C228" t="s">
        <v>39</v>
      </c>
    </row>
    <row r="229" spans="1:3" x14ac:dyDescent="0.25">
      <c r="A229" t="s">
        <v>931</v>
      </c>
      <c r="B229" t="s">
        <v>930</v>
      </c>
      <c r="C229" t="s">
        <v>932</v>
      </c>
    </row>
    <row r="230" spans="1:3" x14ac:dyDescent="0.25">
      <c r="A230" t="s">
        <v>738</v>
      </c>
      <c r="B230" t="s">
        <v>930</v>
      </c>
      <c r="C230" t="s">
        <v>107</v>
      </c>
    </row>
    <row r="231" spans="1:3" x14ac:dyDescent="0.25">
      <c r="A231" t="s">
        <v>739</v>
      </c>
      <c r="B231" t="s">
        <v>930</v>
      </c>
      <c r="C231" t="s">
        <v>59</v>
      </c>
    </row>
    <row r="232" spans="1:3" x14ac:dyDescent="0.25">
      <c r="A232" t="s">
        <v>933</v>
      </c>
      <c r="B232" t="s">
        <v>930</v>
      </c>
      <c r="C232" t="s">
        <v>349</v>
      </c>
    </row>
    <row r="233" spans="1:3" x14ac:dyDescent="0.25">
      <c r="A233" t="s">
        <v>740</v>
      </c>
      <c r="B233" t="s">
        <v>930</v>
      </c>
      <c r="C233" t="s">
        <v>53</v>
      </c>
    </row>
    <row r="234" spans="1:3" x14ac:dyDescent="0.25">
      <c r="A234" t="s">
        <v>741</v>
      </c>
      <c r="B234" t="s">
        <v>930</v>
      </c>
      <c r="C234" t="s">
        <v>17</v>
      </c>
    </row>
    <row r="235" spans="1:3" x14ac:dyDescent="0.25">
      <c r="A235" t="s">
        <v>742</v>
      </c>
      <c r="B235" t="s">
        <v>930</v>
      </c>
      <c r="C235" t="s">
        <v>1020</v>
      </c>
    </row>
    <row r="236" spans="1:3" x14ac:dyDescent="0.25">
      <c r="A236" t="s">
        <v>934</v>
      </c>
      <c r="B236" t="s">
        <v>935</v>
      </c>
      <c r="C236" t="s">
        <v>53</v>
      </c>
    </row>
    <row r="237" spans="1:3" x14ac:dyDescent="0.25">
      <c r="A237" t="s">
        <v>936</v>
      </c>
      <c r="B237" t="s">
        <v>935</v>
      </c>
      <c r="C237" t="s">
        <v>55</v>
      </c>
    </row>
    <row r="238" spans="1:3" x14ac:dyDescent="0.25">
      <c r="A238" t="s">
        <v>937</v>
      </c>
      <c r="B238" t="s">
        <v>935</v>
      </c>
      <c r="C238" t="s">
        <v>17</v>
      </c>
    </row>
    <row r="239" spans="1:3" x14ac:dyDescent="0.25">
      <c r="A239" t="s">
        <v>938</v>
      </c>
      <c r="B239" t="s">
        <v>935</v>
      </c>
      <c r="C239" t="s">
        <v>39</v>
      </c>
    </row>
    <row r="240" spans="1:3" x14ac:dyDescent="0.25">
      <c r="A240" t="s">
        <v>939</v>
      </c>
      <c r="B240" t="s">
        <v>935</v>
      </c>
      <c r="C240" t="s">
        <v>940</v>
      </c>
    </row>
    <row r="241" spans="1:3" x14ac:dyDescent="0.25">
      <c r="A241" t="s">
        <v>941</v>
      </c>
      <c r="B241" t="s">
        <v>935</v>
      </c>
      <c r="C241" t="s">
        <v>942</v>
      </c>
    </row>
    <row r="242" spans="1:3" x14ac:dyDescent="0.25">
      <c r="A242" t="s">
        <v>747</v>
      </c>
      <c r="B242" t="s">
        <v>943</v>
      </c>
      <c r="C242" t="s">
        <v>700</v>
      </c>
    </row>
    <row r="243" spans="1:3" x14ac:dyDescent="0.25">
      <c r="A243" t="s">
        <v>744</v>
      </c>
      <c r="B243" t="s">
        <v>943</v>
      </c>
      <c r="C243" t="s">
        <v>39</v>
      </c>
    </row>
    <row r="244" spans="1:3" x14ac:dyDescent="0.25">
      <c r="A244" t="s">
        <v>745</v>
      </c>
      <c r="B244" t="s">
        <v>943</v>
      </c>
      <c r="C244" t="s">
        <v>932</v>
      </c>
    </row>
    <row r="245" spans="1:3" x14ac:dyDescent="0.25">
      <c r="A245" t="s">
        <v>748</v>
      </c>
      <c r="B245" t="s">
        <v>943</v>
      </c>
      <c r="C245" t="s">
        <v>83</v>
      </c>
    </row>
    <row r="246" spans="1:3" x14ac:dyDescent="0.25">
      <c r="A246" t="s">
        <v>746</v>
      </c>
      <c r="B246" t="s">
        <v>943</v>
      </c>
      <c r="C246" t="s">
        <v>17</v>
      </c>
    </row>
    <row r="247" spans="1:3" x14ac:dyDescent="0.25">
      <c r="A247" t="s">
        <v>749</v>
      </c>
      <c r="B247" t="s">
        <v>943</v>
      </c>
      <c r="C247" t="s">
        <v>642</v>
      </c>
    </row>
    <row r="248" spans="1:3" x14ac:dyDescent="0.25">
      <c r="A248" t="s">
        <v>944</v>
      </c>
      <c r="B248" t="s">
        <v>943</v>
      </c>
      <c r="C248" t="s">
        <v>945</v>
      </c>
    </row>
    <row r="249" spans="1:3" x14ac:dyDescent="0.25">
      <c r="A249" t="s">
        <v>946</v>
      </c>
      <c r="B249" t="s">
        <v>943</v>
      </c>
      <c r="C249" t="s">
        <v>650</v>
      </c>
    </row>
    <row r="250" spans="1:3" x14ac:dyDescent="0.25">
      <c r="A250" t="s">
        <v>743</v>
      </c>
      <c r="B250" t="s">
        <v>943</v>
      </c>
      <c r="C250" t="s">
        <v>645</v>
      </c>
    </row>
    <row r="251" spans="1:3" x14ac:dyDescent="0.25">
      <c r="A251" t="s">
        <v>947</v>
      </c>
      <c r="B251" t="s">
        <v>943</v>
      </c>
      <c r="C251" t="s">
        <v>55</v>
      </c>
    </row>
    <row r="252" spans="1:3" x14ac:dyDescent="0.25">
      <c r="A252" t="s">
        <v>948</v>
      </c>
      <c r="B252" t="s">
        <v>943</v>
      </c>
      <c r="C252" t="s">
        <v>698</v>
      </c>
    </row>
    <row r="253" spans="1:3" x14ac:dyDescent="0.25">
      <c r="A253" t="s">
        <v>949</v>
      </c>
      <c r="B253" t="s">
        <v>950</v>
      </c>
      <c r="C253" t="s">
        <v>951</v>
      </c>
    </row>
    <row r="254" spans="1:3" x14ac:dyDescent="0.25">
      <c r="A254" t="s">
        <v>755</v>
      </c>
      <c r="B254" t="s">
        <v>950</v>
      </c>
      <c r="C254" t="s">
        <v>932</v>
      </c>
    </row>
    <row r="255" spans="1:3" x14ac:dyDescent="0.25">
      <c r="A255" t="s">
        <v>759</v>
      </c>
      <c r="B255" t="s">
        <v>950</v>
      </c>
      <c r="C255" t="s">
        <v>83</v>
      </c>
    </row>
    <row r="256" spans="1:3" x14ac:dyDescent="0.25">
      <c r="A256" t="s">
        <v>754</v>
      </c>
      <c r="B256" t="s">
        <v>950</v>
      </c>
      <c r="C256" t="s">
        <v>39</v>
      </c>
    </row>
    <row r="257" spans="1:3" x14ac:dyDescent="0.25">
      <c r="A257" t="s">
        <v>750</v>
      </c>
      <c r="B257" t="s">
        <v>950</v>
      </c>
      <c r="C257" t="s">
        <v>55</v>
      </c>
    </row>
    <row r="258" spans="1:3" x14ac:dyDescent="0.25">
      <c r="A258" t="s">
        <v>757</v>
      </c>
      <c r="B258" t="s">
        <v>950</v>
      </c>
      <c r="C258" t="s">
        <v>17</v>
      </c>
    </row>
    <row r="259" spans="1:3" x14ac:dyDescent="0.25">
      <c r="A259">
        <v>936</v>
      </c>
      <c r="B259" t="s">
        <v>950</v>
      </c>
      <c r="C259" t="s">
        <v>645</v>
      </c>
    </row>
    <row r="260" spans="1:3" x14ac:dyDescent="0.25">
      <c r="A260">
        <v>935</v>
      </c>
      <c r="B260" t="s">
        <v>950</v>
      </c>
      <c r="C260" t="s">
        <v>650</v>
      </c>
    </row>
    <row r="261" spans="1:3" x14ac:dyDescent="0.25">
      <c r="A261" t="s">
        <v>752</v>
      </c>
      <c r="B261" t="s">
        <v>950</v>
      </c>
      <c r="C261" t="s">
        <v>642</v>
      </c>
    </row>
    <row r="262" spans="1:3" x14ac:dyDescent="0.25">
      <c r="A262" t="s">
        <v>751</v>
      </c>
      <c r="B262" t="s">
        <v>950</v>
      </c>
      <c r="C262" t="s">
        <v>952</v>
      </c>
    </row>
    <row r="263" spans="1:3" x14ac:dyDescent="0.25">
      <c r="A263" t="s">
        <v>953</v>
      </c>
      <c r="B263" t="s">
        <v>950</v>
      </c>
      <c r="C263" t="s">
        <v>27</v>
      </c>
    </row>
    <row r="264" spans="1:3" x14ac:dyDescent="0.25">
      <c r="A264" t="s">
        <v>954</v>
      </c>
      <c r="B264" t="s">
        <v>950</v>
      </c>
      <c r="C264" t="s">
        <v>955</v>
      </c>
    </row>
    <row r="265" spans="1:3" x14ac:dyDescent="0.25">
      <c r="A265" t="s">
        <v>753</v>
      </c>
      <c r="B265" t="s">
        <v>950</v>
      </c>
      <c r="C265" t="s">
        <v>68</v>
      </c>
    </row>
    <row r="266" spans="1:3" x14ac:dyDescent="0.25">
      <c r="A266" t="s">
        <v>956</v>
      </c>
      <c r="B266" t="s">
        <v>950</v>
      </c>
      <c r="C266" t="s">
        <v>957</v>
      </c>
    </row>
    <row r="267" spans="1:3" x14ac:dyDescent="0.25">
      <c r="A267" t="s">
        <v>958</v>
      </c>
      <c r="B267" t="s">
        <v>950</v>
      </c>
      <c r="C267" t="s">
        <v>831</v>
      </c>
    </row>
    <row r="268" spans="1:3" x14ac:dyDescent="0.25">
      <c r="A268">
        <v>988</v>
      </c>
      <c r="B268" t="s">
        <v>950</v>
      </c>
      <c r="C268" t="s">
        <v>183</v>
      </c>
    </row>
    <row r="269" spans="1:3" x14ac:dyDescent="0.25">
      <c r="A269" t="s">
        <v>959</v>
      </c>
      <c r="B269" t="s">
        <v>950</v>
      </c>
      <c r="C269" t="s">
        <v>43</v>
      </c>
    </row>
    <row r="270" spans="1:3" x14ac:dyDescent="0.25">
      <c r="A270" t="s">
        <v>756</v>
      </c>
      <c r="B270" t="s">
        <v>950</v>
      </c>
      <c r="C270" t="s">
        <v>100</v>
      </c>
    </row>
    <row r="271" spans="1:3" x14ac:dyDescent="0.25">
      <c r="A271" t="s">
        <v>960</v>
      </c>
      <c r="B271" t="s">
        <v>950</v>
      </c>
      <c r="C271" t="s">
        <v>42</v>
      </c>
    </row>
    <row r="272" spans="1:3" x14ac:dyDescent="0.25">
      <c r="A272" t="s">
        <v>961</v>
      </c>
      <c r="B272" t="s">
        <v>950</v>
      </c>
      <c r="C272" t="s">
        <v>962</v>
      </c>
    </row>
    <row r="273" spans="1:3" x14ac:dyDescent="0.25">
      <c r="A273" t="s">
        <v>963</v>
      </c>
      <c r="B273" t="s">
        <v>950</v>
      </c>
      <c r="C273" t="s">
        <v>1021</v>
      </c>
    </row>
    <row r="274" spans="1:3" x14ac:dyDescent="0.25">
      <c r="A274" t="s">
        <v>964</v>
      </c>
      <c r="B274" t="s">
        <v>950</v>
      </c>
      <c r="C274" t="s">
        <v>984</v>
      </c>
    </row>
    <row r="275" spans="1:3" x14ac:dyDescent="0.25">
      <c r="A275" t="s">
        <v>965</v>
      </c>
      <c r="B275" t="s">
        <v>950</v>
      </c>
      <c r="C275" t="s">
        <v>966</v>
      </c>
    </row>
    <row r="276" spans="1:3" x14ac:dyDescent="0.25">
      <c r="A276" t="s">
        <v>967</v>
      </c>
      <c r="B276" t="s">
        <v>950</v>
      </c>
      <c r="C276" t="s">
        <v>968</v>
      </c>
    </row>
    <row r="277" spans="1:3" x14ac:dyDescent="0.25">
      <c r="A277" t="s">
        <v>969</v>
      </c>
      <c r="B277" t="s">
        <v>950</v>
      </c>
      <c r="C277" t="s">
        <v>698</v>
      </c>
    </row>
    <row r="278" spans="1:3" x14ac:dyDescent="0.25">
      <c r="A278">
        <v>953</v>
      </c>
      <c r="B278" t="s">
        <v>950</v>
      </c>
      <c r="C278" t="s">
        <v>970</v>
      </c>
    </row>
    <row r="279" spans="1:3" x14ac:dyDescent="0.25">
      <c r="A279" t="s">
        <v>758</v>
      </c>
      <c r="B279" t="s">
        <v>950</v>
      </c>
      <c r="C279" t="s">
        <v>971</v>
      </c>
    </row>
    <row r="280" spans="1:3" x14ac:dyDescent="0.25">
      <c r="A280" t="s">
        <v>972</v>
      </c>
      <c r="B280" t="s">
        <v>950</v>
      </c>
      <c r="C280" t="s">
        <v>973</v>
      </c>
    </row>
    <row r="281" spans="1:3" x14ac:dyDescent="0.25">
      <c r="A281" t="s">
        <v>760</v>
      </c>
      <c r="B281" t="s">
        <v>974</v>
      </c>
      <c r="C281" t="s">
        <v>642</v>
      </c>
    </row>
    <row r="282" spans="1:3" x14ac:dyDescent="0.25">
      <c r="A282" t="s">
        <v>975</v>
      </c>
      <c r="B282" t="s">
        <v>976</v>
      </c>
      <c r="C282" t="s">
        <v>831</v>
      </c>
    </row>
    <row r="283" spans="1:3" x14ac:dyDescent="0.25">
      <c r="A283" t="s">
        <v>977</v>
      </c>
      <c r="B283" t="s">
        <v>976</v>
      </c>
      <c r="C283" t="s">
        <v>811</v>
      </c>
    </row>
    <row r="284" spans="1:3" x14ac:dyDescent="0.25">
      <c r="A284" t="s">
        <v>978</v>
      </c>
      <c r="B284" t="s">
        <v>976</v>
      </c>
      <c r="C284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0"/>
  <sheetViews>
    <sheetView workbookViewId="0">
      <selection activeCell="I22" sqref="I22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1022</v>
      </c>
      <c r="B1">
        <v>1990</v>
      </c>
    </row>
    <row r="2" spans="1:2" x14ac:dyDescent="0.25">
      <c r="A2" t="s">
        <v>423</v>
      </c>
      <c r="B2">
        <v>1991</v>
      </c>
    </row>
    <row r="3" spans="1:2" x14ac:dyDescent="0.25">
      <c r="A3" t="s">
        <v>1023</v>
      </c>
      <c r="B3">
        <v>1992</v>
      </c>
    </row>
    <row r="4" spans="1:2" x14ac:dyDescent="0.25">
      <c r="A4" t="s">
        <v>1024</v>
      </c>
      <c r="B4">
        <v>1993</v>
      </c>
    </row>
    <row r="5" spans="1:2" x14ac:dyDescent="0.25">
      <c r="A5" t="s">
        <v>1025</v>
      </c>
      <c r="B5">
        <v>1994</v>
      </c>
    </row>
    <row r="6" spans="1:2" x14ac:dyDescent="0.25">
      <c r="A6" t="s">
        <v>1026</v>
      </c>
      <c r="B6">
        <v>1995</v>
      </c>
    </row>
    <row r="7" spans="1:2" x14ac:dyDescent="0.25">
      <c r="A7" t="s">
        <v>1027</v>
      </c>
      <c r="B7">
        <v>1996</v>
      </c>
    </row>
    <row r="8" spans="1:2" x14ac:dyDescent="0.25">
      <c r="A8" t="s">
        <v>1028</v>
      </c>
      <c r="B8">
        <v>1997</v>
      </c>
    </row>
    <row r="9" spans="1:2" x14ac:dyDescent="0.25">
      <c r="A9" t="s">
        <v>1029</v>
      </c>
      <c r="B9">
        <v>1998</v>
      </c>
    </row>
    <row r="10" spans="1:2" x14ac:dyDescent="0.25">
      <c r="A10" t="s">
        <v>1030</v>
      </c>
      <c r="B10">
        <v>1999</v>
      </c>
    </row>
    <row r="11" spans="1:2" x14ac:dyDescent="0.25">
      <c r="A11" t="s">
        <v>1031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1032</v>
      </c>
      <c r="B21">
        <v>2010</v>
      </c>
    </row>
    <row r="22" spans="1:2" x14ac:dyDescent="0.25">
      <c r="A22" t="s">
        <v>1033</v>
      </c>
      <c r="B22">
        <v>2011</v>
      </c>
    </row>
    <row r="23" spans="1:2" x14ac:dyDescent="0.25">
      <c r="A23" t="s">
        <v>1034</v>
      </c>
      <c r="B23">
        <v>2012</v>
      </c>
    </row>
    <row r="24" spans="1:2" x14ac:dyDescent="0.25">
      <c r="A24" t="s">
        <v>1035</v>
      </c>
      <c r="B24">
        <v>2013</v>
      </c>
    </row>
    <row r="25" spans="1:2" x14ac:dyDescent="0.25">
      <c r="A25" t="s">
        <v>1036</v>
      </c>
      <c r="B25">
        <v>2014</v>
      </c>
    </row>
    <row r="26" spans="1:2" x14ac:dyDescent="0.25">
      <c r="A26" t="s">
        <v>1037</v>
      </c>
      <c r="B26">
        <v>2015</v>
      </c>
    </row>
    <row r="27" spans="1:2" x14ac:dyDescent="0.25">
      <c r="A27" t="s">
        <v>283</v>
      </c>
      <c r="B27">
        <v>2016</v>
      </c>
    </row>
    <row r="28" spans="1:2" x14ac:dyDescent="0.25">
      <c r="A28" t="s">
        <v>1038</v>
      </c>
      <c r="B28">
        <v>2017</v>
      </c>
    </row>
    <row r="29" spans="1:2" x14ac:dyDescent="0.25">
      <c r="A29" t="s">
        <v>391</v>
      </c>
      <c r="B29">
        <v>2018</v>
      </c>
    </row>
    <row r="30" spans="1:2" x14ac:dyDescent="0.25">
      <c r="A30" t="s">
        <v>1039</v>
      </c>
      <c r="B30">
        <v>2019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transactions</vt:lpstr>
      <vt:lpstr>Sheet1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2019-10-07T20:55:25Z</dcterms:created>
  <dcterms:modified xsi:type="dcterms:W3CDTF">2022-10-03T21:12:57Z</dcterms:modified>
</cp:coreProperties>
</file>