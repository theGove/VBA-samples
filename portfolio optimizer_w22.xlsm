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F0D8B569-D0F4-4FFF-8583-15D638542CBD}" xr6:coauthVersionLast="36" xr6:coauthVersionMax="36" xr10:uidLastSave="{00000000-0000-0000-0000-000000000000}"/>
  <bookViews>
    <workbookView xWindow="0" yWindow="0" windowWidth="28800" windowHeight="12225" activeTab="1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Model!$D$10</definedName>
    <definedName name="solver_lhs2" localSheetId="3" hidden="1">Model!$G$7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Model!$D$12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2</definedName>
    <definedName name="solver_rhs1" localSheetId="3" hidden="1">RequiredReturn</definedName>
    <definedName name="solver_rhs2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</workbook>
</file>

<file path=xl/calcChain.xml><?xml version="1.0" encoding="utf-8"?>
<calcChain xmlns="http://schemas.openxmlformats.org/spreadsheetml/2006/main">
  <c r="D12" i="65" l="1" a="1"/>
  <c r="D12" i="65" s="1"/>
  <c r="D14" i="65" s="1"/>
  <c r="D10" i="65"/>
  <c r="G7" i="65"/>
  <c r="C8" i="65"/>
  <c r="C7" i="65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B5" i="65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  <c r="I2" i="63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<sst xmlns="http://schemas.openxmlformats.org/spreadsheetml/2006/main" count="123" uniqueCount="41">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</sst>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1.1735857107109597E-3</c:v>
                </c:pt>
                <c:pt idx="1">
                  <c:v>1.1735857107109597E-3</c:v>
                </c:pt>
                <c:pt idx="2">
                  <c:v>1.1735857107109597E-3</c:v>
                </c:pt>
                <c:pt idx="3">
                  <c:v>1.1735857107109597E-3</c:v>
                </c:pt>
                <c:pt idx="4">
                  <c:v>1.1735857107109597E-3</c:v>
                </c:pt>
                <c:pt idx="5">
                  <c:v>1.1776835691606794E-3</c:v>
                </c:pt>
                <c:pt idx="6">
                  <c:v>1.2355628796264088E-3</c:v>
                </c:pt>
                <c:pt idx="7">
                  <c:v>1.3792097393560973E-3</c:v>
                </c:pt>
                <c:pt idx="8">
                  <c:v>1.6583865331278647E-3</c:v>
                </c:pt>
                <c:pt idx="9">
                  <c:v>2.4669811280307757E-3</c:v>
                </c:pt>
                <c:pt idx="10">
                  <c:v>7.1299271310519101E-3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A-495C-92BA-336595945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969648"/>
        <c:axId val="799066768"/>
      </c:scatterChart>
      <c:valAx>
        <c:axId val="65696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9066768"/>
        <c:crosses val="autoZero"/>
        <c:crossBetween val="midCat"/>
      </c:valAx>
      <c:valAx>
        <c:axId val="79906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5696964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03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37A1A4-7C80-4ACE-A178-6B37B58BE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zoomScale="175" zoomScaleNormal="175" workbookViewId="0">
      <selection activeCell="A12" sqref="A12:A13"/>
    </sheetView>
  </sheetViews>
  <sheetFormatPr defaultRowHeight="12.75" x14ac:dyDescent="0.2"/>
  <cols>
    <col min="3" max="3" width="9.140625" bestFit="1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35</v>
      </c>
    </row>
    <row r="9" spans="1:10" x14ac:dyDescent="0.2">
      <c r="A9" t="s">
        <v>10</v>
      </c>
      <c r="E9" s="4" t="s">
        <v>36</v>
      </c>
    </row>
    <row r="10" spans="1:10" x14ac:dyDescent="0.2">
      <c r="A10" s="4" t="s">
        <v>13</v>
      </c>
      <c r="E10" s="4" t="s">
        <v>39</v>
      </c>
    </row>
    <row r="11" spans="1:10" x14ac:dyDescent="0.2">
      <c r="A11" t="s">
        <v>8</v>
      </c>
    </row>
    <row r="12" spans="1:10" x14ac:dyDescent="0.2">
      <c r="E12" t="s">
        <v>37</v>
      </c>
      <c r="J12" s="3"/>
    </row>
    <row r="13" spans="1:10" x14ac:dyDescent="0.2">
      <c r="J13" s="3"/>
    </row>
    <row r="14" spans="1:10" x14ac:dyDescent="0.2">
      <c r="E14" s="7" t="s">
        <v>34</v>
      </c>
      <c r="J14" s="3"/>
    </row>
    <row r="15" spans="1:10" x14ac:dyDescent="0.2">
      <c r="J15" s="3"/>
    </row>
    <row r="16" spans="1:10" x14ac:dyDescent="0.2">
      <c r="E16" s="4" t="s">
        <v>40</v>
      </c>
      <c r="J16" s="3"/>
    </row>
    <row r="17" spans="5:10" x14ac:dyDescent="0.2">
      <c r="E17" t="s">
        <v>38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tabSelected="1" zoomScale="220" zoomScaleNormal="220" workbookViewId="0">
      <selection activeCell="A2" sqref="A2:A87"/>
    </sheetView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zoomScale="205" zoomScaleNormal="205" workbookViewId="0">
      <selection activeCell="B5" sqref="B5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zoomScale="190" zoomScaleNormal="190" workbookViewId="0">
      <selection activeCell="A18" sqref="A18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1.0000000011317751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1.0000000011317751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2.4039969242086581E-2</v>
      </c>
      <c r="E10" s="6" t="s">
        <v>29</v>
      </c>
      <c r="F10">
        <v>2.4039968848228455E-2</v>
      </c>
    </row>
    <row r="12" spans="1:11" x14ac:dyDescent="0.2">
      <c r="A12" s="5" t="s">
        <v>30</v>
      </c>
      <c r="D12">
        <f t="array" ref="D12">MMULT(weights,MMULT(covariances,TRANSPOSE(weights)))</f>
        <v>7.1299271310519101E-3</v>
      </c>
      <c r="F12">
        <v>1.3615725121091848E-3</v>
      </c>
    </row>
    <row r="14" spans="1:11" x14ac:dyDescent="0.2">
      <c r="A14" s="5" t="s">
        <v>31</v>
      </c>
      <c r="D14">
        <f>SQRT(portfolioVariance)</f>
        <v>8.4438895842211897E-2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zoomScale="145" zoomScaleNormal="145" workbookViewId="0">
      <selection activeCell="N8" sqref="E8:N8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1.1735857107109597E-3</v>
      </c>
      <c r="C4">
        <v>-1.6404091147705913E-3</v>
      </c>
      <c r="E4">
        <v>7.5758635037065314E-2</v>
      </c>
      <c r="F4">
        <v>1.8098252000472315E-2</v>
      </c>
      <c r="G4">
        <v>9.9833916200441811E-2</v>
      </c>
      <c r="H4">
        <v>3.5521534363151225E-2</v>
      </c>
      <c r="I4">
        <v>0.12080736277832871</v>
      </c>
      <c r="J4">
        <v>0.11930145541892143</v>
      </c>
      <c r="K4">
        <v>1.8892448558065641E-2</v>
      </c>
      <c r="L4">
        <v>0.27347624508565044</v>
      </c>
      <c r="M4">
        <v>0.23574532873089793</v>
      </c>
      <c r="N4">
        <v>2.5648212277728792E-3</v>
      </c>
    </row>
    <row r="5" spans="1:14" x14ac:dyDescent="0.2">
      <c r="B5">
        <v>1.1735857107109597E-3</v>
      </c>
      <c r="C5">
        <v>9.2762865824624896E-4</v>
      </c>
      <c r="E5">
        <v>7.5758635037065314E-2</v>
      </c>
      <c r="F5">
        <v>1.8098252000472315E-2</v>
      </c>
      <c r="G5">
        <v>9.9833916200441811E-2</v>
      </c>
      <c r="H5">
        <v>3.5521534363151225E-2</v>
      </c>
      <c r="I5">
        <v>0.12080736277832871</v>
      </c>
      <c r="J5">
        <v>0.11930145541892143</v>
      </c>
      <c r="K5">
        <v>1.8892448558065641E-2</v>
      </c>
      <c r="L5">
        <v>0.27347624508565044</v>
      </c>
      <c r="M5">
        <v>0.23574532873089793</v>
      </c>
      <c r="N5">
        <v>2.5648212277728792E-3</v>
      </c>
    </row>
    <row r="6" spans="1:14" x14ac:dyDescent="0.2">
      <c r="B6">
        <v>1.1735857107109597E-3</v>
      </c>
      <c r="C6">
        <v>3.4956664312630892E-3</v>
      </c>
      <c r="E6">
        <v>7.5758635037065314E-2</v>
      </c>
      <c r="F6">
        <v>1.8098252000472315E-2</v>
      </c>
      <c r="G6">
        <v>9.9833916200441811E-2</v>
      </c>
      <c r="H6">
        <v>3.5521534363151225E-2</v>
      </c>
      <c r="I6">
        <v>0.12080736277832871</v>
      </c>
      <c r="J6">
        <v>0.11930145541892143</v>
      </c>
      <c r="K6">
        <v>1.8892448558065641E-2</v>
      </c>
      <c r="L6">
        <v>0.27347624508565044</v>
      </c>
      <c r="M6">
        <v>0.23574532873089793</v>
      </c>
      <c r="N6">
        <v>2.5648212277728792E-3</v>
      </c>
    </row>
    <row r="7" spans="1:14" x14ac:dyDescent="0.2">
      <c r="B7">
        <v>1.1735857107109597E-3</v>
      </c>
      <c r="C7">
        <v>6.0637043789029121E-3</v>
      </c>
      <c r="E7">
        <v>7.5758635037065314E-2</v>
      </c>
      <c r="F7">
        <v>1.8098252000472315E-2</v>
      </c>
      <c r="G7">
        <v>9.9833916200441811E-2</v>
      </c>
      <c r="H7">
        <v>3.5521534363151225E-2</v>
      </c>
      <c r="I7">
        <v>0.12080736277832871</v>
      </c>
      <c r="J7">
        <v>0.11930145541892143</v>
      </c>
      <c r="K7">
        <v>1.8892448558065641E-2</v>
      </c>
      <c r="L7">
        <v>0.27347624508565044</v>
      </c>
      <c r="M7">
        <v>0.23574532873089793</v>
      </c>
      <c r="N7">
        <v>2.5648212277728792E-3</v>
      </c>
    </row>
    <row r="8" spans="1:14" x14ac:dyDescent="0.2">
      <c r="B8">
        <v>1.1735857107109597E-3</v>
      </c>
      <c r="C8">
        <v>8.6317416280508041E-3</v>
      </c>
      <c r="E8">
        <v>7.5758635037065314E-2</v>
      </c>
      <c r="F8">
        <v>1.8098252000472315E-2</v>
      </c>
      <c r="G8">
        <v>9.9833916200441811E-2</v>
      </c>
      <c r="H8">
        <v>3.5521534363151225E-2</v>
      </c>
      <c r="I8">
        <v>0.12080736277832871</v>
      </c>
      <c r="J8">
        <v>0.11930145541892143</v>
      </c>
      <c r="K8">
        <v>1.8892448558065641E-2</v>
      </c>
      <c r="L8">
        <v>0.27347624508565044</v>
      </c>
      <c r="M8">
        <v>0.23574532873089793</v>
      </c>
      <c r="N8">
        <v>2.5648212277728792E-3</v>
      </c>
    </row>
    <row r="9" spans="1:14" x14ac:dyDescent="0.2">
      <c r="B9">
        <v>1.1776835691606794E-3</v>
      </c>
      <c r="C9">
        <v>1.1199779808521271E-2</v>
      </c>
      <c r="E9">
        <v>8.7799590677002104E-2</v>
      </c>
      <c r="F9">
        <v>1.8422241924618988E-2</v>
      </c>
      <c r="G9">
        <v>8.6821313703168479E-2</v>
      </c>
      <c r="H9">
        <v>1.2657704680436676E-2</v>
      </c>
      <c r="I9">
        <v>0.12745153533158005</v>
      </c>
      <c r="J9">
        <v>0.1364269883933637</v>
      </c>
      <c r="K9">
        <v>1.1228274128919075E-2</v>
      </c>
      <c r="L9">
        <v>0.29091604316680308</v>
      </c>
      <c r="M9">
        <v>0.21981056671336946</v>
      </c>
      <c r="N9">
        <v>8.4657397058751048E-3</v>
      </c>
    </row>
    <row r="10" spans="1:14" x14ac:dyDescent="0.2">
      <c r="B10">
        <v>1.2355628796264088E-3</v>
      </c>
      <c r="C10">
        <v>1.3767817988991737E-2</v>
      </c>
      <c r="E10">
        <v>0.10678976996369595</v>
      </c>
      <c r="F10">
        <v>2.5513681459520259E-2</v>
      </c>
      <c r="G10">
        <v>3.2112308994285771E-2</v>
      </c>
      <c r="H10">
        <v>0</v>
      </c>
      <c r="I10">
        <v>0.11739869663051319</v>
      </c>
      <c r="J10">
        <v>0.18998479618096822</v>
      </c>
      <c r="K10">
        <v>0</v>
      </c>
      <c r="L10">
        <v>0.32628198915054946</v>
      </c>
      <c r="M10">
        <v>0.15251646678852426</v>
      </c>
      <c r="N10">
        <v>4.9402283916301928E-2</v>
      </c>
    </row>
    <row r="11" spans="1:14" x14ac:dyDescent="0.2">
      <c r="B11">
        <v>1.3792097393560973E-3</v>
      </c>
      <c r="C11">
        <v>1.6335856169462204E-2</v>
      </c>
      <c r="E11">
        <v>0.11441695638303759</v>
      </c>
      <c r="F11">
        <v>3.0215480587501852E-2</v>
      </c>
      <c r="G11">
        <v>0</v>
      </c>
      <c r="H11">
        <v>0</v>
      </c>
      <c r="I11">
        <v>9.6275308623450184E-2</v>
      </c>
      <c r="J11">
        <v>0.25856103993423135</v>
      </c>
      <c r="K11">
        <v>0</v>
      </c>
      <c r="L11">
        <v>0.36372681780935306</v>
      </c>
      <c r="M11">
        <v>4.3855229626264744E-2</v>
      </c>
      <c r="N11">
        <v>9.2949157674133587E-2</v>
      </c>
    </row>
    <row r="12" spans="1:14" x14ac:dyDescent="0.2">
      <c r="B12">
        <v>1.6583865331278647E-3</v>
      </c>
      <c r="C12">
        <v>1.8903892487287521E-2</v>
      </c>
      <c r="E12">
        <v>4.6891950068387603E-2</v>
      </c>
      <c r="F12">
        <v>4.8144708349317056E-2</v>
      </c>
      <c r="G12">
        <v>0</v>
      </c>
      <c r="H12">
        <v>0</v>
      </c>
      <c r="I12">
        <v>0</v>
      </c>
      <c r="J12">
        <v>0.37389988787727474</v>
      </c>
      <c r="K12">
        <v>0</v>
      </c>
      <c r="L12">
        <v>0.35469847323504844</v>
      </c>
      <c r="M12">
        <v>0</v>
      </c>
      <c r="N12">
        <v>0.17636496758681466</v>
      </c>
    </row>
    <row r="13" spans="1:14" x14ac:dyDescent="0.2">
      <c r="B13">
        <v>2.4669811280307757E-3</v>
      </c>
      <c r="C13">
        <v>2.1471930667757988E-2</v>
      </c>
      <c r="E13">
        <v>0</v>
      </c>
      <c r="F13">
        <v>2.6046941948654492E-2</v>
      </c>
      <c r="G13">
        <v>0</v>
      </c>
      <c r="H13">
        <v>0</v>
      </c>
      <c r="I13">
        <v>0</v>
      </c>
      <c r="J13">
        <v>0.54976495728951891</v>
      </c>
      <c r="K13">
        <v>0</v>
      </c>
      <c r="L13">
        <v>2.39381490330094E-2</v>
      </c>
      <c r="M13">
        <v>0</v>
      </c>
      <c r="N13">
        <v>0.40024992878803861</v>
      </c>
    </row>
    <row r="14" spans="1:14" x14ac:dyDescent="0.2">
      <c r="B14">
        <v>7.1299271310519101E-3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1.0000000011317751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:I88"/>
  <sheetViews>
    <sheetView zoomScale="220" zoomScaleNormal="220" workbookViewId="0">
      <selection activeCell="I1" sqref="I1:I19"/>
    </sheetView>
  </sheetViews>
  <sheetFormatPr defaultRowHeight="12.75" x14ac:dyDescent="0.2"/>
  <sheetData>
    <row r="1" spans="1:9" x14ac:dyDescent="0.2">
      <c r="A1" s="2">
        <v>43572</v>
      </c>
      <c r="B1">
        <v>52.27</v>
      </c>
      <c r="C1">
        <v>53.73</v>
      </c>
      <c r="D1">
        <v>51.38</v>
      </c>
      <c r="E1">
        <v>52.77</v>
      </c>
      <c r="F1">
        <v>52.77</v>
      </c>
      <c r="G1">
        <v>46604896</v>
      </c>
      <c r="H1">
        <v>0</v>
      </c>
      <c r="I1" t="s">
        <v>33</v>
      </c>
    </row>
    <row r="2" spans="1:9" x14ac:dyDescent="0.2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2022-04-11T20:48:26Z</dcterms:modified>
</cp:coreProperties>
</file>