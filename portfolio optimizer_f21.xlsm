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93103AE-243D-49AE-A0A9-EDCADEEDDDFD}" xr6:coauthVersionLast="36" xr6:coauthVersionMax="36" xr10:uidLastSave="{00000000-0000-0000-0000-000000000000}"/>
  <bookViews>
    <workbookView xWindow="0" yWindow="0" windowWidth="26070" windowHeight="6420" activeTab="4" xr2:uid="{00000000-000D-0000-FFFF-FFFF00000000}"/>
  </bookViews>
  <sheets>
    <sheet name="Tickers" sheetId="1" r:id="rId1"/>
    <sheet name="Consolidate" sheetId="67" r:id="rId2"/>
    <sheet name="Summary" sheetId="66" r:id="rId3"/>
    <sheet name="Model" sheetId="65" r:id="rId4"/>
    <sheet name="Frontier" sheetId="64" r:id="rId5"/>
    <sheet name="Yahoo" sheetId="63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Model!$D$10</definedName>
    <definedName name="solver_lhs2" localSheetId="3" hidden="1">Model!$G$7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Model!$D$12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2</definedName>
    <definedName name="solver_rhs1" localSheetId="3" hidden="1">RequiredReturn</definedName>
    <definedName name="solver_rhs2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/>
</workbook>
</file>

<file path=xl/calcChain.xml><?xml version="1.0" encoding="utf-8"?>
<calcChain xmlns="http://schemas.openxmlformats.org/spreadsheetml/2006/main">
  <c r="D12" i="65" l="1" a="1"/>
  <c r="D12" i="65" s="1"/>
  <c r="D14" i="65" s="1"/>
  <c r="D10" i="65"/>
  <c r="G7" i="65"/>
  <c r="C8" i="65"/>
  <c r="C7" i="65"/>
  <c r="K26" i="65"/>
  <c r="K25" i="65"/>
  <c r="K24" i="65"/>
  <c r="K23" i="65"/>
  <c r="K22" i="65"/>
  <c r="K21" i="65"/>
  <c r="K20" i="65"/>
  <c r="K19" i="65"/>
  <c r="K18" i="65"/>
  <c r="K17" i="65"/>
  <c r="K5" i="65"/>
  <c r="J26" i="65"/>
  <c r="J25" i="65"/>
  <c r="J24" i="65"/>
  <c r="J23" i="65"/>
  <c r="J22" i="65"/>
  <c r="J21" i="65"/>
  <c r="J20" i="65"/>
  <c r="J19" i="65"/>
  <c r="J18" i="65"/>
  <c r="J17" i="65"/>
  <c r="J5" i="65"/>
  <c r="I26" i="65"/>
  <c r="I25" i="65"/>
  <c r="I24" i="65"/>
  <c r="I23" i="65"/>
  <c r="I22" i="65"/>
  <c r="I21" i="65"/>
  <c r="I20" i="65"/>
  <c r="I19" i="65"/>
  <c r="I18" i="65"/>
  <c r="I17" i="65"/>
  <c r="I5" i="65"/>
  <c r="H26" i="65"/>
  <c r="H25" i="65"/>
  <c r="H24" i="65"/>
  <c r="H23" i="65"/>
  <c r="H22" i="65"/>
  <c r="H21" i="65"/>
  <c r="H20" i="65"/>
  <c r="H19" i="65"/>
  <c r="H18" i="65"/>
  <c r="H17" i="65"/>
  <c r="H5" i="65"/>
  <c r="G26" i="65"/>
  <c r="G25" i="65"/>
  <c r="G24" i="65"/>
  <c r="G23" i="65"/>
  <c r="G22" i="65"/>
  <c r="G21" i="65"/>
  <c r="G20" i="65"/>
  <c r="G19" i="65"/>
  <c r="G18" i="65"/>
  <c r="G17" i="65"/>
  <c r="G5" i="65"/>
  <c r="F26" i="65"/>
  <c r="F25" i="65"/>
  <c r="F24" i="65"/>
  <c r="F23" i="65"/>
  <c r="F22" i="65"/>
  <c r="F21" i="65"/>
  <c r="F20" i="65"/>
  <c r="F19" i="65"/>
  <c r="F18" i="65"/>
  <c r="F17" i="65"/>
  <c r="F5" i="65"/>
  <c r="E26" i="65"/>
  <c r="E25" i="65"/>
  <c r="E24" i="65"/>
  <c r="E23" i="65"/>
  <c r="E22" i="65"/>
  <c r="E21" i="65"/>
  <c r="E20" i="65"/>
  <c r="E19" i="65"/>
  <c r="E18" i="65"/>
  <c r="E17" i="65"/>
  <c r="E5" i="65"/>
  <c r="D26" i="65"/>
  <c r="D25" i="65"/>
  <c r="D24" i="65"/>
  <c r="D23" i="65"/>
  <c r="D22" i="65"/>
  <c r="D21" i="65"/>
  <c r="D20" i="65"/>
  <c r="D19" i="65"/>
  <c r="D18" i="65"/>
  <c r="D17" i="65"/>
  <c r="D5" i="65"/>
  <c r="C26" i="65"/>
  <c r="C25" i="65"/>
  <c r="C24" i="65"/>
  <c r="C23" i="65"/>
  <c r="C22" i="65"/>
  <c r="C21" i="65"/>
  <c r="C20" i="65"/>
  <c r="C19" i="65"/>
  <c r="C18" i="65"/>
  <c r="C17" i="65"/>
  <c r="C5" i="65"/>
  <c r="B26" i="65"/>
  <c r="B25" i="65"/>
  <c r="B24" i="65"/>
  <c r="B23" i="65"/>
  <c r="B22" i="65"/>
  <c r="B21" i="65"/>
  <c r="B20" i="65"/>
  <c r="B19" i="65"/>
  <c r="B18" i="65"/>
  <c r="B17" i="65"/>
  <c r="B5" i="65"/>
  <c r="K17" i="66"/>
  <c r="K16" i="66"/>
  <c r="K15" i="66"/>
  <c r="K14" i="66"/>
  <c r="K13" i="66"/>
  <c r="K12" i="66"/>
  <c r="K11" i="66"/>
  <c r="K10" i="66"/>
  <c r="K9" i="66"/>
  <c r="K8" i="66"/>
  <c r="K5" i="66"/>
  <c r="K4" i="66"/>
  <c r="J17" i="66"/>
  <c r="J16" i="66"/>
  <c r="J15" i="66"/>
  <c r="J14" i="66"/>
  <c r="J13" i="66"/>
  <c r="J12" i="66"/>
  <c r="J11" i="66"/>
  <c r="J10" i="66"/>
  <c r="J9" i="66"/>
  <c r="J8" i="66"/>
  <c r="J5" i="66"/>
  <c r="J4" i="66"/>
  <c r="I17" i="66"/>
  <c r="I16" i="66"/>
  <c r="I15" i="66"/>
  <c r="I14" i="66"/>
  <c r="I13" i="66"/>
  <c r="I12" i="66"/>
  <c r="I11" i="66"/>
  <c r="I10" i="66"/>
  <c r="I9" i="66"/>
  <c r="I8" i="66"/>
  <c r="I5" i="66"/>
  <c r="I4" i="66"/>
  <c r="H17" i="66"/>
  <c r="H16" i="66"/>
  <c r="H15" i="66"/>
  <c r="H14" i="66"/>
  <c r="H13" i="66"/>
  <c r="H12" i="66"/>
  <c r="H11" i="66"/>
  <c r="H10" i="66"/>
  <c r="H9" i="66"/>
  <c r="H8" i="66"/>
  <c r="H5" i="66"/>
  <c r="H4" i="66"/>
  <c r="G17" i="66"/>
  <c r="G16" i="66"/>
  <c r="G15" i="66"/>
  <c r="G14" i="66"/>
  <c r="G13" i="66"/>
  <c r="G12" i="66"/>
  <c r="G11" i="66"/>
  <c r="G10" i="66"/>
  <c r="G9" i="66"/>
  <c r="G8" i="66"/>
  <c r="G5" i="66"/>
  <c r="G4" i="66"/>
  <c r="F17" i="66"/>
  <c r="F16" i="66"/>
  <c r="F15" i="66"/>
  <c r="F14" i="66"/>
  <c r="F13" i="66"/>
  <c r="F12" i="66"/>
  <c r="F11" i="66"/>
  <c r="F10" i="66"/>
  <c r="F9" i="66"/>
  <c r="F8" i="66"/>
  <c r="F5" i="66"/>
  <c r="F4" i="66"/>
  <c r="E17" i="66"/>
  <c r="E16" i="66"/>
  <c r="E15" i="66"/>
  <c r="E14" i="66"/>
  <c r="E13" i="66"/>
  <c r="E12" i="66"/>
  <c r="E11" i="66"/>
  <c r="E10" i="66"/>
  <c r="E9" i="66"/>
  <c r="E8" i="66"/>
  <c r="E5" i="66"/>
  <c r="E4" i="66"/>
  <c r="D17" i="66"/>
  <c r="D16" i="66"/>
  <c r="D15" i="66"/>
  <c r="D14" i="66"/>
  <c r="D13" i="66"/>
  <c r="D12" i="66"/>
  <c r="D11" i="66"/>
  <c r="D10" i="66"/>
  <c r="D9" i="66"/>
  <c r="D8" i="66"/>
  <c r="D5" i="66"/>
  <c r="D4" i="66"/>
  <c r="C17" i="66"/>
  <c r="C16" i="66"/>
  <c r="C15" i="66"/>
  <c r="C14" i="66"/>
  <c r="C13" i="66"/>
  <c r="C12" i="66"/>
  <c r="C11" i="66"/>
  <c r="C10" i="66"/>
  <c r="C9" i="66"/>
  <c r="C8" i="66"/>
  <c r="C5" i="66"/>
  <c r="C4" i="66"/>
  <c r="B17" i="66"/>
  <c r="B16" i="66"/>
  <c r="B15" i="66"/>
  <c r="B14" i="66"/>
  <c r="B13" i="66"/>
  <c r="B12" i="66"/>
  <c r="B11" i="66"/>
  <c r="B10" i="66"/>
  <c r="B9" i="66"/>
  <c r="B8" i="66"/>
  <c r="B5" i="66"/>
  <c r="B4" i="6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<sst xmlns="http://schemas.openxmlformats.org/spreadsheetml/2006/main" count="122" uniqueCount="40">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</sst>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1.1733521375498687E-3</c:v>
                </c:pt>
                <c:pt idx="1">
                  <c:v>1.1733521375498687E-3</c:v>
                </c:pt>
                <c:pt idx="2">
                  <c:v>1.1733521375498687E-3</c:v>
                </c:pt>
                <c:pt idx="3">
                  <c:v>1.1733521375498687E-3</c:v>
                </c:pt>
                <c:pt idx="4">
                  <c:v>1.1733521375498687E-3</c:v>
                </c:pt>
                <c:pt idx="5">
                  <c:v>1.1776836404677228E-3</c:v>
                </c:pt>
                <c:pt idx="6">
                  <c:v>1.2355628947676161E-3</c:v>
                </c:pt>
                <c:pt idx="7">
                  <c:v>1.3792097557966398E-3</c:v>
                </c:pt>
                <c:pt idx="8">
                  <c:v>1.6583865142720581E-3</c:v>
                </c:pt>
                <c:pt idx="9">
                  <c:v>2.4669809148806579E-3</c:v>
                </c:pt>
                <c:pt idx="10">
                  <c:v>7.1299271540191684E-3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2-4E0A-A12A-DA24A7C61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02111"/>
        <c:axId val="1728356015"/>
      </c:scatterChart>
      <c:valAx>
        <c:axId val="1158702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8356015"/>
        <c:crosses val="autoZero"/>
        <c:crossBetween val="midCat"/>
      </c:valAx>
      <c:valAx>
        <c:axId val="17283560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87021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114300</xdr:rowOff>
        </xdr:from>
        <xdr:to>
          <xdr:col>2</xdr:col>
          <xdr:colOff>390525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19050</xdr:rowOff>
        </xdr:from>
        <xdr:to>
          <xdr:col>5</xdr:col>
          <xdr:colOff>142875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3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F2BC15-D26A-4C91-99CA-DC6C719C1C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topLeftCell="A2" zoomScale="175" zoomScaleNormal="175" workbookViewId="0">
      <selection activeCell="H6" sqref="H6"/>
    </sheetView>
  </sheetViews>
  <sheetFormatPr defaultRowHeight="12.75" x14ac:dyDescent="0.2"/>
  <cols>
    <col min="3" max="3" width="9.140625" bestFit="1" customWidth="1"/>
    <col min="5" max="5" width="40.285156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40909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43572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9</v>
      </c>
    </row>
    <row r="8" spans="1:10" x14ac:dyDescent="0.2">
      <c r="A8" t="s">
        <v>11</v>
      </c>
      <c r="E8" s="4" t="s">
        <v>34</v>
      </c>
    </row>
    <row r="9" spans="1:10" x14ac:dyDescent="0.2">
      <c r="A9" t="s">
        <v>10</v>
      </c>
      <c r="E9" s="4" t="s">
        <v>35</v>
      </c>
    </row>
    <row r="10" spans="1:10" x14ac:dyDescent="0.2">
      <c r="A10" s="4" t="s">
        <v>13</v>
      </c>
      <c r="E10" s="4" t="s">
        <v>38</v>
      </c>
    </row>
    <row r="11" spans="1:10" x14ac:dyDescent="0.2">
      <c r="A11" t="s">
        <v>8</v>
      </c>
    </row>
    <row r="12" spans="1:10" x14ac:dyDescent="0.2">
      <c r="E12" t="s">
        <v>36</v>
      </c>
      <c r="J12" s="3"/>
    </row>
    <row r="13" spans="1:10" x14ac:dyDescent="0.2">
      <c r="J13" s="3"/>
    </row>
    <row r="14" spans="1:10" x14ac:dyDescent="0.2">
      <c r="E14" s="7" t="s">
        <v>33</v>
      </c>
      <c r="J14" s="3"/>
    </row>
    <row r="15" spans="1:10" x14ac:dyDescent="0.2">
      <c r="J15" s="3"/>
    </row>
    <row r="16" spans="1:10" x14ac:dyDescent="0.2">
      <c r="E16" s="4" t="s">
        <v>39</v>
      </c>
      <c r="J16" s="3"/>
    </row>
    <row r="17" spans="5:10" x14ac:dyDescent="0.2">
      <c r="E17" t="s">
        <v>37</v>
      </c>
      <c r="J17" s="3"/>
    </row>
    <row r="18" spans="5:10" x14ac:dyDescent="0.2">
      <c r="J18" s="3"/>
    </row>
    <row r="19" spans="5:10" x14ac:dyDescent="0.2">
      <c r="J19" s="3"/>
    </row>
    <row r="20" spans="5:10" x14ac:dyDescent="0.2">
      <c r="J20" s="3"/>
    </row>
    <row r="21" spans="5:10" x14ac:dyDescent="0.2">
      <c r="J21" s="3"/>
    </row>
    <row r="22" spans="5:10" x14ac:dyDescent="0.2">
      <c r="J22" s="3"/>
    </row>
    <row r="23" spans="5:10" x14ac:dyDescent="0.2">
      <c r="J23" s="3"/>
    </row>
    <row r="24" spans="5:10" x14ac:dyDescent="0.2">
      <c r="J24" s="3"/>
    </row>
    <row r="25" spans="5:10" x14ac:dyDescent="0.2">
      <c r="J25" s="3"/>
    </row>
    <row r="26" spans="5:10" x14ac:dyDescent="0.2">
      <c r="J26" s="3"/>
    </row>
    <row r="27" spans="5:10" x14ac:dyDescent="0.2">
      <c r="J27" s="3"/>
    </row>
    <row r="28" spans="5:10" x14ac:dyDescent="0.2">
      <c r="J28" s="3"/>
    </row>
    <row r="29" spans="5:10" x14ac:dyDescent="0.2">
      <c r="J29" s="3"/>
    </row>
    <row r="30" spans="5:10" x14ac:dyDescent="0.2">
      <c r="J30" s="3"/>
    </row>
    <row r="31" spans="5:10" x14ac:dyDescent="0.2">
      <c r="J31" s="3"/>
    </row>
    <row r="32" spans="5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19050</xdr:colOff>
                    <xdr:row>4</xdr:row>
                    <xdr:rowOff>114300</xdr:rowOff>
                  </from>
                  <to>
                    <xdr:col>2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409575</xdr:colOff>
                    <xdr:row>2</xdr:row>
                    <xdr:rowOff>19050</xdr:rowOff>
                  </from>
                  <to>
                    <xdr:col>5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97C4-4E75-4342-8226-29EC8082BC58}">
  <sheetPr codeName="Sheet46"/>
  <dimension ref="A1:J87"/>
  <sheetViews>
    <sheetView workbookViewId="0">
      <selection activeCell="A2" sqref="A2:A20"/>
    </sheetView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FD46-4C0E-4882-99E0-5F8CC175FBE1}">
  <sheetPr codeName="Sheet45"/>
  <dimension ref="A1:K17"/>
  <sheetViews>
    <sheetView workbookViewId="0"/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3772-8741-4EA9-89A3-DF899744A839}">
  <sheetPr codeName="Sheet44"/>
  <dimension ref="A1:K26"/>
  <sheetViews>
    <sheetView zoomScale="160" zoomScaleNormal="160" workbookViewId="0">
      <selection activeCell="F10" sqref="F10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1.0000000027423988</v>
      </c>
    </row>
    <row r="5" spans="1:11" x14ac:dyDescent="0.2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">
      <c r="A7" s="5" t="s">
        <v>25</v>
      </c>
      <c r="C7">
        <f>MIN(means)</f>
        <v>-1.6404091419110062E-3</v>
      </c>
      <c r="E7" s="5" t="s">
        <v>26</v>
      </c>
      <c r="G7">
        <f>SUM(weights)</f>
        <v>1.0000000027423988</v>
      </c>
    </row>
    <row r="8" spans="1:11" x14ac:dyDescent="0.2">
      <c r="A8" s="5" t="s">
        <v>27</v>
      </c>
      <c r="C8">
        <f>MAX(means)</f>
        <v>2.4039969214878741E-2</v>
      </c>
    </row>
    <row r="10" spans="1:11" x14ac:dyDescent="0.2">
      <c r="A10" s="5" t="s">
        <v>28</v>
      </c>
      <c r="D10">
        <f>SUMPRODUCT(weights, means)</f>
        <v>2.4039969280805921E-2</v>
      </c>
      <c r="E10" s="6" t="s">
        <v>29</v>
      </c>
      <c r="F10">
        <v>2.4039968848228455E-2</v>
      </c>
    </row>
    <row r="12" spans="1:11" x14ac:dyDescent="0.2">
      <c r="A12" s="5" t="s">
        <v>30</v>
      </c>
      <c r="D12">
        <f t="array" ref="D12">MMULT(weights,MMULT(covariances,TRANSPOSE(weights)))</f>
        <v>7.1299271540191684E-3</v>
      </c>
      <c r="F12">
        <v>1.3615725121091848E-3</v>
      </c>
    </row>
    <row r="14" spans="1:11" x14ac:dyDescent="0.2">
      <c r="A14" s="5" t="s">
        <v>31</v>
      </c>
      <c r="D14">
        <f>SQRT(portfolioVariance)</f>
        <v>8.4438895978211179E-2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9D13-33F2-42A6-9861-E4A232FD0181}">
  <sheetPr codeName="Sheet43"/>
  <dimension ref="A1:N14"/>
  <sheetViews>
    <sheetView tabSelected="1" workbookViewId="0">
      <selection activeCell="B4" sqref="B4:B8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">
      <c r="B4">
        <v>1.1733521375498687E-3</v>
      </c>
      <c r="C4">
        <v>-1.6404091147705913E-3</v>
      </c>
      <c r="E4">
        <v>7.6590160600500279E-2</v>
      </c>
      <c r="F4">
        <v>1.6541419281531085E-2</v>
      </c>
      <c r="G4">
        <v>0.10086093429962734</v>
      </c>
      <c r="H4">
        <v>3.4492139027929129E-2</v>
      </c>
      <c r="I4">
        <v>0.12297198974587667</v>
      </c>
      <c r="J4">
        <v>0.11928964035809514</v>
      </c>
      <c r="K4">
        <v>1.7333643345474648E-2</v>
      </c>
      <c r="L4">
        <v>0.2759923498851074</v>
      </c>
      <c r="M4">
        <v>0.2359277234558583</v>
      </c>
      <c r="N4">
        <v>0</v>
      </c>
    </row>
    <row r="5" spans="1:14" x14ac:dyDescent="0.2">
      <c r="B5">
        <v>1.1733521375498687E-3</v>
      </c>
      <c r="C5">
        <v>9.2762865824624896E-4</v>
      </c>
      <c r="E5">
        <v>7.6590160600500279E-2</v>
      </c>
      <c r="F5">
        <v>1.6541419281531085E-2</v>
      </c>
      <c r="G5">
        <v>0.10086093429962734</v>
      </c>
      <c r="H5">
        <v>3.4492139027929129E-2</v>
      </c>
      <c r="I5">
        <v>0.12297198974587667</v>
      </c>
      <c r="J5">
        <v>0.11928964035809514</v>
      </c>
      <c r="K5">
        <v>1.7333643345474648E-2</v>
      </c>
      <c r="L5">
        <v>0.2759923498851074</v>
      </c>
      <c r="M5">
        <v>0.2359277234558583</v>
      </c>
      <c r="N5">
        <v>0</v>
      </c>
    </row>
    <row r="6" spans="1:14" x14ac:dyDescent="0.2">
      <c r="B6">
        <v>1.1733521375498687E-3</v>
      </c>
      <c r="C6">
        <v>3.4956664312630892E-3</v>
      </c>
      <c r="E6">
        <v>7.6590160600500279E-2</v>
      </c>
      <c r="F6">
        <v>1.6541419281531085E-2</v>
      </c>
      <c r="G6">
        <v>0.10086093429962734</v>
      </c>
      <c r="H6">
        <v>3.4492139027929129E-2</v>
      </c>
      <c r="I6">
        <v>0.12297198974587667</v>
      </c>
      <c r="J6">
        <v>0.11928964035809514</v>
      </c>
      <c r="K6">
        <v>1.7333643345474648E-2</v>
      </c>
      <c r="L6">
        <v>0.2759923498851074</v>
      </c>
      <c r="M6">
        <v>0.2359277234558583</v>
      </c>
      <c r="N6">
        <v>0</v>
      </c>
    </row>
    <row r="7" spans="1:14" x14ac:dyDescent="0.2">
      <c r="B7">
        <v>1.1733521375498687E-3</v>
      </c>
      <c r="C7">
        <v>6.0637043789029121E-3</v>
      </c>
      <c r="E7">
        <v>7.6590160600500279E-2</v>
      </c>
      <c r="F7">
        <v>1.6541419281531085E-2</v>
      </c>
      <c r="G7">
        <v>0.10086093429962734</v>
      </c>
      <c r="H7">
        <v>3.4492139027929129E-2</v>
      </c>
      <c r="I7">
        <v>0.12297198974587667</v>
      </c>
      <c r="J7">
        <v>0.11928964035809514</v>
      </c>
      <c r="K7">
        <v>1.7333643345474648E-2</v>
      </c>
      <c r="L7">
        <v>0.2759923498851074</v>
      </c>
      <c r="M7">
        <v>0.2359277234558583</v>
      </c>
      <c r="N7">
        <v>0</v>
      </c>
    </row>
    <row r="8" spans="1:14" x14ac:dyDescent="0.2">
      <c r="B8">
        <v>1.1733521375498687E-3</v>
      </c>
      <c r="C8">
        <v>8.6317416280508041E-3</v>
      </c>
      <c r="E8">
        <v>7.6590160600500279E-2</v>
      </c>
      <c r="F8">
        <v>1.6541419281531085E-2</v>
      </c>
      <c r="G8">
        <v>0.10086093429962734</v>
      </c>
      <c r="H8">
        <v>3.4492139027929129E-2</v>
      </c>
      <c r="I8">
        <v>0.12297198974587667</v>
      </c>
      <c r="J8">
        <v>0.11928964035809514</v>
      </c>
      <c r="K8">
        <v>1.7333643345474648E-2</v>
      </c>
      <c r="L8">
        <v>0.2759923498851074</v>
      </c>
      <c r="M8">
        <v>0.2359277234558583</v>
      </c>
      <c r="N8">
        <v>0</v>
      </c>
    </row>
    <row r="9" spans="1:14" x14ac:dyDescent="0.2">
      <c r="B9">
        <v>1.1776836404677228E-3</v>
      </c>
      <c r="C9">
        <v>1.1199779808521271E-2</v>
      </c>
      <c r="E9">
        <v>8.7795081499396438E-2</v>
      </c>
      <c r="F9">
        <v>1.8306951998433088E-2</v>
      </c>
      <c r="G9">
        <v>8.6837212547527284E-2</v>
      </c>
      <c r="H9">
        <v>1.2685953464697999E-2</v>
      </c>
      <c r="I9">
        <v>0.12750380904120667</v>
      </c>
      <c r="J9">
        <v>0.13645489778749262</v>
      </c>
      <c r="K9">
        <v>1.1177005240807262E-2</v>
      </c>
      <c r="L9">
        <v>0.29098457790495247</v>
      </c>
      <c r="M9">
        <v>0.21980131435906364</v>
      </c>
      <c r="N9">
        <v>8.453195039568066E-3</v>
      </c>
    </row>
    <row r="10" spans="1:14" x14ac:dyDescent="0.2">
      <c r="B10">
        <v>1.2355628947676161E-3</v>
      </c>
      <c r="C10">
        <v>1.3767817988991737E-2</v>
      </c>
      <c r="E10">
        <v>0.10678971315155797</v>
      </c>
      <c r="F10">
        <v>2.5513687407150917E-2</v>
      </c>
      <c r="G10">
        <v>3.2112350606444559E-2</v>
      </c>
      <c r="H10">
        <v>0</v>
      </c>
      <c r="I10">
        <v>0.1173987222999008</v>
      </c>
      <c r="J10">
        <v>0.18998479570383839</v>
      </c>
      <c r="K10">
        <v>0</v>
      </c>
      <c r="L10">
        <v>0.3262819430463359</v>
      </c>
      <c r="M10">
        <v>0.1525164680416734</v>
      </c>
      <c r="N10">
        <v>4.9402322291008001E-2</v>
      </c>
    </row>
    <row r="11" spans="1:14" x14ac:dyDescent="0.2">
      <c r="B11">
        <v>1.3792097557966398E-3</v>
      </c>
      <c r="C11">
        <v>1.6335856169462204E-2</v>
      </c>
      <c r="E11">
        <v>0.11441700232357396</v>
      </c>
      <c r="F11">
        <v>3.0215560181060499E-2</v>
      </c>
      <c r="G11">
        <v>0</v>
      </c>
      <c r="H11">
        <v>0</v>
      </c>
      <c r="I11">
        <v>9.6275266611892896E-2</v>
      </c>
      <c r="J11">
        <v>0.25856109023815332</v>
      </c>
      <c r="K11">
        <v>0</v>
      </c>
      <c r="L11">
        <v>0.36372675043412223</v>
      </c>
      <c r="M11">
        <v>4.3855231114271781E-2</v>
      </c>
      <c r="N11">
        <v>9.2949100449931085E-2</v>
      </c>
    </row>
    <row r="12" spans="1:14" x14ac:dyDescent="0.2">
      <c r="B12">
        <v>1.6583865142720581E-3</v>
      </c>
      <c r="C12">
        <v>1.8903892487287521E-2</v>
      </c>
      <c r="E12">
        <v>4.6891930553811634E-2</v>
      </c>
      <c r="F12">
        <v>4.81446608503985E-2</v>
      </c>
      <c r="G12">
        <v>0</v>
      </c>
      <c r="H12">
        <v>0</v>
      </c>
      <c r="I12">
        <v>0</v>
      </c>
      <c r="J12">
        <v>0.37389980897008734</v>
      </c>
      <c r="K12">
        <v>0</v>
      </c>
      <c r="L12">
        <v>0.35469869082673378</v>
      </c>
      <c r="M12">
        <v>0</v>
      </c>
      <c r="N12">
        <v>0.17636492073738719</v>
      </c>
    </row>
    <row r="13" spans="1:14" x14ac:dyDescent="0.2">
      <c r="B13">
        <v>2.4669809148806579E-3</v>
      </c>
      <c r="C13">
        <v>2.1471930667757988E-2</v>
      </c>
      <c r="E13">
        <v>0</v>
      </c>
      <c r="F13">
        <v>2.6047029865656088E-2</v>
      </c>
      <c r="G13">
        <v>0</v>
      </c>
      <c r="H13">
        <v>0</v>
      </c>
      <c r="I13">
        <v>0</v>
      </c>
      <c r="J13">
        <v>0.54976488057211947</v>
      </c>
      <c r="K13">
        <v>0</v>
      </c>
      <c r="L13">
        <v>2.3938219674483324E-2</v>
      </c>
      <c r="M13">
        <v>0</v>
      </c>
      <c r="N13">
        <v>0.40024988499079145</v>
      </c>
    </row>
    <row r="14" spans="1:14" x14ac:dyDescent="0.2">
      <c r="B14">
        <v>7.1299271540191684E-3</v>
      </c>
      <c r="C14">
        <v>2.4039968848228455E-2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1.0000000027423988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65DD-8703-41C5-8665-F640F6F1F1C4}">
  <sheetPr codeName="Sheet42"/>
  <dimension ref="A1"/>
  <sheetViews>
    <sheetView workbookViewId="0">
      <selection activeCell="I2" sqref="I2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 Allen</cp:lastModifiedBy>
  <cp:lastPrinted>2007-11-19T18:25:24Z</cp:lastPrinted>
  <dcterms:created xsi:type="dcterms:W3CDTF">2006-10-23T21:11:26Z</dcterms:created>
  <dcterms:modified xsi:type="dcterms:W3CDTF">2021-12-08T22:27:28Z</dcterms:modified>
</cp:coreProperties>
</file>