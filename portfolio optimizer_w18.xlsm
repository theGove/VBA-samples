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llen2\Documents\"/>
    </mc:Choice>
  </mc:AlternateContent>
  <xr:revisionPtr revIDLastSave="0" documentId="8_{74295D1D-F4EF-4890-B924-CEE6424C5FBF}" xr6:coauthVersionLast="31" xr6:coauthVersionMax="31" xr10:uidLastSave="{00000000-0000-0000-0000-000000000000}"/>
  <bookViews>
    <workbookView xWindow="0" yWindow="0" windowWidth="19200" windowHeight="7560" activeTab="4" xr2:uid="{00000000-000D-0000-FFFF-FFFF00000000}"/>
  </bookViews>
  <sheets>
    <sheet name="Tickers" sheetId="1" r:id="rId1"/>
    <sheet name="Consolidate" sheetId="27" r:id="rId2"/>
    <sheet name="Summary" sheetId="26" r:id="rId3"/>
    <sheet name="Model" sheetId="25" r:id="rId4"/>
    <sheet name="Frontier" sheetId="24" r:id="rId5"/>
    <sheet name="Yahoo" sheetId="23" r:id="rId6"/>
  </sheets>
  <definedNames>
    <definedName name="AA">#REF!</definedName>
    <definedName name="AAPL">Consolidate!$B$2:$B$111</definedName>
    <definedName name="AXP">Consolidate!$A$2:$A$111</definedName>
    <definedName name="BA">#REF!</definedName>
    <definedName name="CAT">#REF!</definedName>
    <definedName name="CHV">#REF!</definedName>
    <definedName name="COST">Consolidate!$I$2:$I$111</definedName>
    <definedName name="covariances">Model!$B$17:$K$26</definedName>
    <definedName name="CSCO">#REF!</definedName>
    <definedName name="CVX">#REF!</definedName>
    <definedName name="DELL">#REF!</definedName>
    <definedName name="DIS">#REF!</definedName>
    <definedName name="endDate">Tickers!$C$4</definedName>
    <definedName name="F">Consolidate!$C$2:$C$111</definedName>
    <definedName name="GE">Consolidate!$H$2:$H$111</definedName>
    <definedName name="GM">#REF!</definedName>
    <definedName name="GOOG">#REF!</definedName>
    <definedName name="IBM">Consolidate!$D$2:$D$111</definedName>
    <definedName name="JAVA">#REF!</definedName>
    <definedName name="LUV">Consolidate!$F$2:$F$111</definedName>
    <definedName name="maxReturn">Model!$C$8</definedName>
    <definedName name="meanReturn">Model!$D$10</definedName>
    <definedName name="means">Model!$B$5:$K$5</definedName>
    <definedName name="minReturn">Model!$C$7</definedName>
    <definedName name="MSFT">Consolidate!$G$2:$G$111</definedName>
    <definedName name="ORCL">Consolidate!$E$2:$E$111</definedName>
    <definedName name="portfolioStdev">Model!$D$14</definedName>
    <definedName name="portfolioVariance">Model!$D$12</definedName>
    <definedName name="RequiredReturn">Model!$F$10</definedName>
    <definedName name="solver_adj" localSheetId="3" hidden="1">Model!$B$4:$K$4</definedName>
    <definedName name="solver_eng" localSheetId="3" hidden="1">1</definedName>
    <definedName name="solver_lhs1" localSheetId="3" hidden="1">Model!$G$7</definedName>
    <definedName name="solver_lhs2" localSheetId="3" hidden="1">Model!$D$10</definedName>
    <definedName name="solver_neg" localSheetId="3" hidden="1">1</definedName>
    <definedName name="solver_num" localSheetId="3" hidden="1">2</definedName>
    <definedName name="solver_opt" localSheetId="3" hidden="1">Model!$D$14</definedName>
    <definedName name="solver_rel1" localSheetId="3" hidden="1">2</definedName>
    <definedName name="solver_rel2" localSheetId="3" hidden="1">3</definedName>
    <definedName name="solver_rhs1" localSheetId="3" hidden="1">1</definedName>
    <definedName name="solver_rhs2" localSheetId="3" hidden="1">RequiredReturn</definedName>
    <definedName name="solver_typ" localSheetId="3" hidden="1">2</definedName>
    <definedName name="solver_val" localSheetId="3" hidden="1">0</definedName>
    <definedName name="solver_ver" localSheetId="3" hidden="1">3</definedName>
    <definedName name="startDate">Tickers!$C$2</definedName>
    <definedName name="sumOfWeights">Model!$G$7</definedName>
    <definedName name="SUNW">#REF!</definedName>
    <definedName name="T">#REF!</definedName>
    <definedName name="weights">Model!$B$4:$K$4</definedName>
    <definedName name="XOM">Consolidate!$J$2:$J$111</definedName>
    <definedName name="xrx">#REF!</definedName>
  </definedNames>
  <calcPr calcId="179017"/>
</workbook>
</file>

<file path=xl/calcChain.xml><?xml version="1.0" encoding="utf-8"?>
<calcChain xmlns="http://schemas.openxmlformats.org/spreadsheetml/2006/main">
  <c r="D12" i="25" l="1" a="1"/>
  <c r="D12" i="25" s="1"/>
  <c r="D14" i="25" s="1"/>
  <c r="D10" i="25"/>
  <c r="G7" i="25"/>
  <c r="C8" i="25"/>
  <c r="C7" i="25"/>
  <c r="K26" i="25"/>
  <c r="K25" i="25"/>
  <c r="K24" i="25"/>
  <c r="K23" i="25"/>
  <c r="K22" i="25"/>
  <c r="K21" i="25"/>
  <c r="K20" i="25"/>
  <c r="K19" i="25"/>
  <c r="K18" i="25"/>
  <c r="K17" i="25"/>
  <c r="K5" i="25"/>
  <c r="J26" i="25"/>
  <c r="J25" i="25"/>
  <c r="J24" i="25"/>
  <c r="J23" i="25"/>
  <c r="J22" i="25"/>
  <c r="J21" i="25"/>
  <c r="J20" i="25"/>
  <c r="J19" i="25"/>
  <c r="J18" i="25"/>
  <c r="J17" i="25"/>
  <c r="J5" i="25"/>
  <c r="I26" i="25"/>
  <c r="I25" i="25"/>
  <c r="I24" i="25"/>
  <c r="I23" i="25"/>
  <c r="I22" i="25"/>
  <c r="I21" i="25"/>
  <c r="I20" i="25"/>
  <c r="I19" i="25"/>
  <c r="I18" i="25"/>
  <c r="I17" i="25"/>
  <c r="I5" i="25"/>
  <c r="H26" i="25"/>
  <c r="H25" i="25"/>
  <c r="H24" i="25"/>
  <c r="H23" i="25"/>
  <c r="H22" i="25"/>
  <c r="H21" i="25"/>
  <c r="H20" i="25"/>
  <c r="H19" i="25"/>
  <c r="H18" i="25"/>
  <c r="H17" i="25"/>
  <c r="H5" i="25"/>
  <c r="G26" i="25"/>
  <c r="G25" i="25"/>
  <c r="G24" i="25"/>
  <c r="G23" i="25"/>
  <c r="G22" i="25"/>
  <c r="G21" i="25"/>
  <c r="G20" i="25"/>
  <c r="G19" i="25"/>
  <c r="G18" i="25"/>
  <c r="G17" i="25"/>
  <c r="G5" i="25"/>
  <c r="F26" i="25"/>
  <c r="F25" i="25"/>
  <c r="F24" i="25"/>
  <c r="F23" i="25"/>
  <c r="F22" i="25"/>
  <c r="F21" i="25"/>
  <c r="F20" i="25"/>
  <c r="F19" i="25"/>
  <c r="F18" i="25"/>
  <c r="F17" i="25"/>
  <c r="F5" i="25"/>
  <c r="E26" i="25"/>
  <c r="E25" i="25"/>
  <c r="E24" i="25"/>
  <c r="E23" i="25"/>
  <c r="E22" i="25"/>
  <c r="E21" i="25"/>
  <c r="E20" i="25"/>
  <c r="E19" i="25"/>
  <c r="E18" i="25"/>
  <c r="E17" i="25"/>
  <c r="E5" i="25"/>
  <c r="D26" i="25"/>
  <c r="D25" i="25"/>
  <c r="D24" i="25"/>
  <c r="D23" i="25"/>
  <c r="D22" i="25"/>
  <c r="D21" i="25"/>
  <c r="D20" i="25"/>
  <c r="D19" i="25"/>
  <c r="D18" i="25"/>
  <c r="D17" i="25"/>
  <c r="D5" i="25"/>
  <c r="C26" i="25"/>
  <c r="C25" i="25"/>
  <c r="C24" i="25"/>
  <c r="C23" i="25"/>
  <c r="C22" i="25"/>
  <c r="C21" i="25"/>
  <c r="C20" i="25"/>
  <c r="C19" i="25"/>
  <c r="C18" i="25"/>
  <c r="C17" i="25"/>
  <c r="C5" i="25"/>
  <c r="B26" i="25"/>
  <c r="B25" i="25"/>
  <c r="B24" i="25"/>
  <c r="B23" i="25"/>
  <c r="B22" i="25"/>
  <c r="B21" i="25"/>
  <c r="B20" i="25"/>
  <c r="B19" i="25"/>
  <c r="B18" i="25"/>
  <c r="B17" i="25"/>
  <c r="B5" i="25"/>
  <c r="K17" i="26"/>
  <c r="K16" i="26"/>
  <c r="K15" i="26"/>
  <c r="K14" i="26"/>
  <c r="K13" i="26"/>
  <c r="K12" i="26"/>
  <c r="K11" i="26"/>
  <c r="K10" i="26"/>
  <c r="K9" i="26"/>
  <c r="K8" i="26"/>
  <c r="K5" i="26"/>
  <c r="K4" i="26"/>
  <c r="J17" i="26"/>
  <c r="J16" i="26"/>
  <c r="J15" i="26"/>
  <c r="J14" i="26"/>
  <c r="J13" i="26"/>
  <c r="J12" i="26"/>
  <c r="J11" i="26"/>
  <c r="J10" i="26"/>
  <c r="J9" i="26"/>
  <c r="J8" i="26"/>
  <c r="J5" i="26"/>
  <c r="J4" i="26"/>
  <c r="I17" i="26"/>
  <c r="I16" i="26"/>
  <c r="I15" i="26"/>
  <c r="I14" i="26"/>
  <c r="I13" i="26"/>
  <c r="I12" i="26"/>
  <c r="I11" i="26"/>
  <c r="I10" i="26"/>
  <c r="I9" i="26"/>
  <c r="I8" i="26"/>
  <c r="I5" i="26"/>
  <c r="I4" i="26"/>
  <c r="H17" i="26"/>
  <c r="H16" i="26"/>
  <c r="H15" i="26"/>
  <c r="H14" i="26"/>
  <c r="H13" i="26"/>
  <c r="H12" i="26"/>
  <c r="H11" i="26"/>
  <c r="H10" i="26"/>
  <c r="H9" i="26"/>
  <c r="H8" i="26"/>
  <c r="H5" i="26"/>
  <c r="H4" i="26"/>
  <c r="G17" i="26"/>
  <c r="G16" i="26"/>
  <c r="G15" i="26"/>
  <c r="G14" i="26"/>
  <c r="G13" i="26"/>
  <c r="G12" i="26"/>
  <c r="G11" i="26"/>
  <c r="G10" i="26"/>
  <c r="G9" i="26"/>
  <c r="G8" i="26"/>
  <c r="G5" i="26"/>
  <c r="G4" i="26"/>
  <c r="F17" i="26"/>
  <c r="F16" i="26"/>
  <c r="F15" i="26"/>
  <c r="F14" i="26"/>
  <c r="F13" i="26"/>
  <c r="F12" i="26"/>
  <c r="F11" i="26"/>
  <c r="F10" i="26"/>
  <c r="F9" i="26"/>
  <c r="F8" i="26"/>
  <c r="F5" i="26"/>
  <c r="F4" i="26"/>
  <c r="E17" i="26"/>
  <c r="E16" i="26"/>
  <c r="E15" i="26"/>
  <c r="E14" i="26"/>
  <c r="E13" i="26"/>
  <c r="E12" i="26"/>
  <c r="E11" i="26"/>
  <c r="E10" i="26"/>
  <c r="E9" i="26"/>
  <c r="E8" i="26"/>
  <c r="E5" i="26"/>
  <c r="E4" i="26"/>
  <c r="D17" i="26"/>
  <c r="D16" i="26"/>
  <c r="D15" i="26"/>
  <c r="D14" i="26"/>
  <c r="D13" i="26"/>
  <c r="D12" i="26"/>
  <c r="D11" i="26"/>
  <c r="D10" i="26"/>
  <c r="D9" i="26"/>
  <c r="D8" i="26"/>
  <c r="D5" i="26"/>
  <c r="D4" i="26"/>
  <c r="C17" i="26"/>
  <c r="C16" i="26"/>
  <c r="C15" i="26"/>
  <c r="C14" i="26"/>
  <c r="C13" i="26"/>
  <c r="C12" i="26"/>
  <c r="C11" i="26"/>
  <c r="C10" i="26"/>
  <c r="C9" i="26"/>
  <c r="C8" i="26"/>
  <c r="C5" i="26"/>
  <c r="C4" i="26"/>
  <c r="B17" i="26"/>
  <c r="B16" i="26"/>
  <c r="B15" i="26"/>
  <c r="B14" i="26"/>
  <c r="B13" i="26"/>
  <c r="B12" i="26"/>
  <c r="B11" i="26"/>
  <c r="B10" i="26"/>
  <c r="B9" i="26"/>
  <c r="B8" i="26"/>
  <c r="B5" i="26"/>
  <c r="B4" i="26"/>
  <c r="I2" i="23"/>
  <c r="I3" i="23"/>
  <c r="I4" i="23"/>
  <c r="I5" i="23"/>
  <c r="I6" i="23"/>
  <c r="I7" i="23"/>
  <c r="I8" i="23"/>
  <c r="I9" i="23"/>
  <c r="I10" i="23"/>
  <c r="I11" i="23"/>
  <c r="I12" i="23"/>
  <c r="I13" i="23"/>
  <c r="I14" i="23"/>
  <c r="I15" i="23"/>
  <c r="I16" i="23"/>
  <c r="I17" i="23"/>
  <c r="I18" i="23"/>
  <c r="I19" i="23"/>
  <c r="I20" i="23"/>
  <c r="I21" i="23"/>
  <c r="I22" i="23"/>
  <c r="I23" i="23"/>
  <c r="I24" i="23"/>
  <c r="I25" i="23"/>
  <c r="I26" i="23"/>
  <c r="I27" i="23"/>
  <c r="I28" i="23"/>
  <c r="I29" i="23"/>
  <c r="I30" i="23"/>
  <c r="I31" i="23"/>
  <c r="I32" i="23"/>
  <c r="I33" i="23"/>
  <c r="I34" i="23"/>
  <c r="I35" i="23"/>
  <c r="I36" i="23"/>
  <c r="I37" i="23"/>
  <c r="I38" i="23"/>
  <c r="I39" i="23"/>
  <c r="I40" i="23"/>
  <c r="I41" i="23"/>
  <c r="I42" i="23"/>
  <c r="I43" i="23"/>
  <c r="I44" i="23"/>
  <c r="I45" i="23"/>
  <c r="I46" i="23"/>
  <c r="I47" i="23"/>
  <c r="I48" i="23"/>
  <c r="I49" i="23"/>
  <c r="I50" i="23"/>
  <c r="I51" i="23"/>
  <c r="I52" i="23"/>
  <c r="I53" i="23"/>
  <c r="I54" i="23"/>
  <c r="I55" i="23"/>
  <c r="I56" i="23"/>
  <c r="I57" i="23"/>
  <c r="I58" i="23"/>
  <c r="I59" i="23"/>
  <c r="I60" i="23"/>
  <c r="I61" i="23"/>
  <c r="I62" i="23"/>
  <c r="I63" i="23"/>
  <c r="I64" i="23"/>
  <c r="I65" i="23"/>
  <c r="I66" i="23"/>
  <c r="I67" i="23"/>
  <c r="I68" i="23"/>
  <c r="I69" i="23"/>
  <c r="I70" i="23"/>
  <c r="I71" i="23"/>
  <c r="I72" i="23"/>
  <c r="I73" i="23"/>
  <c r="I74" i="23"/>
  <c r="I75" i="23"/>
  <c r="I76" i="23"/>
  <c r="I77" i="23"/>
  <c r="I78" i="23"/>
  <c r="I79" i="23"/>
  <c r="I80" i="23"/>
  <c r="I81" i="23"/>
  <c r="I82" i="23"/>
  <c r="I83" i="23"/>
  <c r="I84" i="23"/>
  <c r="I85" i="23"/>
  <c r="I86" i="23"/>
  <c r="I87" i="23"/>
  <c r="I88" i="23"/>
  <c r="I89" i="23"/>
  <c r="I90" i="23"/>
  <c r="I91" i="23"/>
  <c r="I92" i="23"/>
  <c r="I93" i="23"/>
  <c r="I94" i="23"/>
  <c r="I95" i="23"/>
  <c r="I96" i="23"/>
  <c r="I97" i="23"/>
  <c r="I98" i="23"/>
  <c r="I99" i="23"/>
  <c r="I100" i="23"/>
  <c r="I101" i="23"/>
  <c r="I102" i="23"/>
  <c r="I103" i="23"/>
  <c r="I104" i="23"/>
  <c r="I105" i="23"/>
  <c r="I106" i="23"/>
  <c r="I107" i="23"/>
  <c r="I108" i="23"/>
  <c r="I109" i="23"/>
  <c r="I110" i="23"/>
  <c r="I111" i="2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0" background="1">
    <webPr url="https://query1.finance.yahoo.com/v7/finance/download/LUV?period1=1483254000&amp;period2=1514703600&amp;interval=1mo&amp;events=history&amp;crumb=typhICIbS9z" htmlTables="1" htmlFormat="all"/>
  </connection>
  <connection id="2" xr16:uid="{00000000-0015-0000-FFFF-FFFF01000000}" name="Connection1" type="4" refreshedVersion="0" background="1">
    <webPr url="https://www.investopedia.com/markets/api/partial/historical/?Symbol=LUV&amp;Type=Historical+Prices&amp;Timeframe=Monthly&amp;StartDate=Apr+16%2C+2000&amp;EndDate=Oct+13%2C+2017" htmlTables="1" htmlFormat="all"/>
  </connection>
</connections>
</file>

<file path=xl/sharedStrings.xml><?xml version="1.0" encoding="utf-8"?>
<sst xmlns="http://schemas.openxmlformats.org/spreadsheetml/2006/main" count="116" uniqueCount="34">
  <si>
    <t>MSN</t>
  </si>
  <si>
    <t>AXP</t>
  </si>
  <si>
    <t>Tickers</t>
  </si>
  <si>
    <t>Start</t>
  </si>
  <si>
    <t>End</t>
  </si>
  <si>
    <t>AAPL</t>
  </si>
  <si>
    <t>IBM</t>
  </si>
  <si>
    <t>ORCL</t>
  </si>
  <si>
    <t>LUV</t>
  </si>
  <si>
    <t>MSFT</t>
  </si>
  <si>
    <t>COST</t>
  </si>
  <si>
    <t>GE</t>
  </si>
  <si>
    <t>F</t>
  </si>
  <si>
    <t>XOM</t>
  </si>
  <si>
    <t>Efficient Frontier</t>
  </si>
  <si>
    <t>Weights for optimal portfolios</t>
  </si>
  <si>
    <t>Port Stdev</t>
  </si>
  <si>
    <t>Req'd Mean</t>
  </si>
  <si>
    <t>Summary measures for stock returns</t>
  </si>
  <si>
    <t>Stock</t>
  </si>
  <si>
    <t>Means</t>
  </si>
  <si>
    <t>StdDev</t>
  </si>
  <si>
    <t>Correlations</t>
  </si>
  <si>
    <t>Portfolio Selection Model</t>
  </si>
  <si>
    <t>Weights</t>
  </si>
  <si>
    <t>Minimum Return:</t>
  </si>
  <si>
    <t>Sum of Weights:</t>
  </si>
  <si>
    <t>Maximum Return:</t>
  </si>
  <si>
    <t>Constraint on Mean Return:</t>
  </si>
  <si>
    <t>&gt;=</t>
  </si>
  <si>
    <t>Portfolio variance:</t>
  </si>
  <si>
    <t>Portfolio standard deviation:</t>
  </si>
  <si>
    <t>Covariances</t>
  </si>
  <si>
    <t>Pct Chg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</si>
</sst>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2" borderId="0" xfId="0" applyFont="1" applyFill="1"/>
    <xf numFmtId="14" fontId="0" fillId="0" borderId="0" xfId="0" applyNumberFormat="1"/>
    <xf numFmtId="15" fontId="0" fillId="0" borderId="0" xfId="0" applyNumberFormat="1"/>
    <xf numFmtId="0" fontId="3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3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Efficient Frontier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Frontier!$C$3</c:f>
              <c:strCache>
                <c:ptCount val="1"/>
                <c:pt idx="0">
                  <c:v>Req'd Mean</c:v>
                </c:pt>
              </c:strCache>
            </c:strRef>
          </c:tx>
          <c:marker>
            <c:symbol val="none"/>
          </c:marker>
          <c:xVal>
            <c:numRef>
              <c:f>Frontier!$B$4:$B$14</c:f>
              <c:numCache>
                <c:formatCode>General</c:formatCode>
                <c:ptCount val="11"/>
                <c:pt idx="0">
                  <c:v>1.1373860971950888E-3</c:v>
                </c:pt>
                <c:pt idx="1">
                  <c:v>1.1373860971950888E-3</c:v>
                </c:pt>
                <c:pt idx="2">
                  <c:v>1.1373860971950888E-3</c:v>
                </c:pt>
                <c:pt idx="3">
                  <c:v>1.1373860971950888E-3</c:v>
                </c:pt>
                <c:pt idx="4">
                  <c:v>1.1645281115468568E-3</c:v>
                </c:pt>
                <c:pt idx="5">
                  <c:v>1.2739344563382231E-3</c:v>
                </c:pt>
                <c:pt idx="6">
                  <c:v>1.467207359586397E-3</c:v>
                </c:pt>
                <c:pt idx="7">
                  <c:v>1.7443469453226859E-3</c:v>
                </c:pt>
                <c:pt idx="8">
                  <c:v>2.2142452782068253E-3</c:v>
                </c:pt>
                <c:pt idx="9">
                  <c:v>3.0802588839009956E-3</c:v>
                </c:pt>
                <c:pt idx="10">
                  <c:v>5.1880681314564218E-3</c:v>
                </c:pt>
              </c:numCache>
            </c:numRef>
          </c:xVal>
          <c:yVal>
            <c:numRef>
              <c:f>Frontier!$C$4:$C$14</c:f>
              <c:numCache>
                <c:formatCode>General</c:formatCode>
                <c:ptCount val="11"/>
                <c:pt idx="0">
                  <c:v>3.2755141146481037E-3</c:v>
                </c:pt>
                <c:pt idx="1">
                  <c:v>5.6685912422835827E-3</c:v>
                </c:pt>
                <c:pt idx="2">
                  <c:v>8.0616679042577744E-3</c:v>
                </c:pt>
                <c:pt idx="3">
                  <c:v>1.0454745031893253E-2</c:v>
                </c:pt>
                <c:pt idx="4">
                  <c:v>1.2847822159528732E-2</c:v>
                </c:pt>
                <c:pt idx="5">
                  <c:v>1.5240899287164211E-2</c:v>
                </c:pt>
                <c:pt idx="6">
                  <c:v>1.763397641479969E-2</c:v>
                </c:pt>
                <c:pt idx="7">
                  <c:v>2.0027054473757744E-2</c:v>
                </c:pt>
                <c:pt idx="8">
                  <c:v>2.2420130670070648E-2</c:v>
                </c:pt>
                <c:pt idx="9">
                  <c:v>2.4813208729028702E-2</c:v>
                </c:pt>
                <c:pt idx="10">
                  <c:v>2.7206284925341606E-2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0A-46D9-9DF1-B10094FA9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4587343"/>
        <c:axId val="1883748767"/>
      </c:scatterChart>
      <c:valAx>
        <c:axId val="17545873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83748767"/>
        <c:crosses val="autoZero"/>
        <c:crossBetween val="midCat"/>
      </c:valAx>
      <c:valAx>
        <c:axId val="188374876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54587343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419100</xdr:colOff>
          <xdr:row>1</xdr:row>
          <xdr:rowOff>104775</xdr:rowOff>
        </xdr:from>
        <xdr:to>
          <xdr:col>5</xdr:col>
          <xdr:colOff>142875</xdr:colOff>
          <xdr:row>3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Tickers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409575</xdr:colOff>
          <xdr:row>3</xdr:row>
          <xdr:rowOff>161925</xdr:rowOff>
        </xdr:from>
        <xdr:to>
          <xdr:col>5</xdr:col>
          <xdr:colOff>142875</xdr:colOff>
          <xdr:row>5</xdr:row>
          <xdr:rowOff>76200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Process Model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333375</xdr:colOff>
          <xdr:row>6</xdr:row>
          <xdr:rowOff>123825</xdr:rowOff>
        </xdr:from>
        <xdr:to>
          <xdr:col>8</xdr:col>
          <xdr:colOff>333375</xdr:colOff>
          <xdr:row>8</xdr:row>
          <xdr:rowOff>47625</xdr:rowOff>
        </xdr:to>
        <xdr:sp macro="" textlink="">
          <xdr:nvSpPr>
            <xdr:cNvPr id="91137" name="Button 1" hidden="1">
              <a:extLst>
                <a:ext uri="{63B3BB69-23CF-44E3-9099-C40C66FF867C}">
                  <a14:compatExt spid="_x0000_s91137"/>
                </a:ext>
                <a:ext uri="{FF2B5EF4-FFF2-40B4-BE49-F238E27FC236}">
                  <a16:creationId xmlns:a16="http://schemas.microsoft.com/office/drawing/2014/main" id="{549AF7E9-D991-4F58-8BD8-05871B4C20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8</xdr:col>
      <xdr:colOff>304800</xdr:colOff>
      <xdr:row>31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892AC55-F7F8-4B02-B466-4C1628E9F4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5"/>
  <sheetViews>
    <sheetView zoomScale="145" zoomScaleNormal="145" workbookViewId="0">
      <selection activeCell="C11" sqref="C11"/>
    </sheetView>
  </sheetViews>
  <sheetFormatPr defaultRowHeight="12.75" x14ac:dyDescent="0.2"/>
  <cols>
    <col min="3" max="3" width="9.5703125" bestFit="1" customWidth="1"/>
    <col min="5" max="5" width="23.42578125" customWidth="1"/>
  </cols>
  <sheetData>
    <row r="1" spans="1:10" x14ac:dyDescent="0.2">
      <c r="A1" s="1" t="s">
        <v>2</v>
      </c>
      <c r="B1" t="s">
        <v>0</v>
      </c>
      <c r="C1" s="1" t="s">
        <v>3</v>
      </c>
    </row>
    <row r="2" spans="1:10" x14ac:dyDescent="0.2">
      <c r="A2" t="s">
        <v>1</v>
      </c>
      <c r="C2" s="2">
        <v>39814</v>
      </c>
    </row>
    <row r="3" spans="1:10" x14ac:dyDescent="0.2">
      <c r="A3" t="s">
        <v>5</v>
      </c>
      <c r="C3" s="1" t="s">
        <v>4</v>
      </c>
    </row>
    <row r="4" spans="1:10" x14ac:dyDescent="0.2">
      <c r="A4" t="s">
        <v>12</v>
      </c>
      <c r="C4" s="2">
        <v>43207</v>
      </c>
    </row>
    <row r="5" spans="1:10" x14ac:dyDescent="0.2">
      <c r="A5" t="s">
        <v>6</v>
      </c>
    </row>
    <row r="6" spans="1:10" x14ac:dyDescent="0.2">
      <c r="A6" t="s">
        <v>7</v>
      </c>
    </row>
    <row r="7" spans="1:10" x14ac:dyDescent="0.2">
      <c r="A7" t="s">
        <v>8</v>
      </c>
    </row>
    <row r="8" spans="1:10" x14ac:dyDescent="0.2">
      <c r="A8" t="s">
        <v>9</v>
      </c>
    </row>
    <row r="9" spans="1:10" x14ac:dyDescent="0.2">
      <c r="A9" t="s">
        <v>11</v>
      </c>
    </row>
    <row r="10" spans="1:10" x14ac:dyDescent="0.2">
      <c r="A10" t="s">
        <v>10</v>
      </c>
    </row>
    <row r="11" spans="1:10" x14ac:dyDescent="0.2">
      <c r="A11" s="4" t="s">
        <v>13</v>
      </c>
    </row>
    <row r="12" spans="1:10" x14ac:dyDescent="0.2">
      <c r="J12" s="3"/>
    </row>
    <row r="13" spans="1:10" x14ac:dyDescent="0.2">
      <c r="J13" s="3"/>
    </row>
    <row r="14" spans="1:10" x14ac:dyDescent="0.2">
      <c r="J14" s="3"/>
    </row>
    <row r="15" spans="1:10" x14ac:dyDescent="0.2">
      <c r="J15" s="3"/>
    </row>
    <row r="16" spans="1:10" x14ac:dyDescent="0.2">
      <c r="J16" s="3"/>
    </row>
    <row r="17" spans="10:10" x14ac:dyDescent="0.2">
      <c r="J17" s="3"/>
    </row>
    <row r="18" spans="10:10" x14ac:dyDescent="0.2">
      <c r="J18" s="3"/>
    </row>
    <row r="19" spans="10:10" x14ac:dyDescent="0.2">
      <c r="J19" s="3"/>
    </row>
    <row r="20" spans="10:10" x14ac:dyDescent="0.2">
      <c r="J20" s="3"/>
    </row>
    <row r="21" spans="10:10" x14ac:dyDescent="0.2">
      <c r="J21" s="3"/>
    </row>
    <row r="22" spans="10:10" x14ac:dyDescent="0.2">
      <c r="J22" s="3"/>
    </row>
    <row r="23" spans="10:10" x14ac:dyDescent="0.2">
      <c r="J23" s="3"/>
    </row>
    <row r="24" spans="10:10" x14ac:dyDescent="0.2">
      <c r="J24" s="3"/>
    </row>
    <row r="25" spans="10:10" x14ac:dyDescent="0.2">
      <c r="J25" s="3"/>
    </row>
    <row r="26" spans="10:10" x14ac:dyDescent="0.2">
      <c r="J26" s="3"/>
    </row>
    <row r="27" spans="10:10" x14ac:dyDescent="0.2">
      <c r="J27" s="3"/>
    </row>
    <row r="28" spans="10:10" x14ac:dyDescent="0.2">
      <c r="J28" s="3"/>
    </row>
    <row r="29" spans="10:10" x14ac:dyDescent="0.2">
      <c r="J29" s="3"/>
    </row>
    <row r="30" spans="10:10" x14ac:dyDescent="0.2">
      <c r="J30" s="3"/>
    </row>
    <row r="31" spans="10:10" x14ac:dyDescent="0.2">
      <c r="J31" s="3"/>
    </row>
    <row r="32" spans="10:10" x14ac:dyDescent="0.2">
      <c r="J32" s="3"/>
    </row>
    <row r="33" spans="10:10" x14ac:dyDescent="0.2">
      <c r="J33" s="3"/>
    </row>
    <row r="34" spans="10:10" x14ac:dyDescent="0.2">
      <c r="J34" s="3"/>
    </row>
    <row r="35" spans="10:10" x14ac:dyDescent="0.2">
      <c r="J35" s="3"/>
    </row>
  </sheetData>
  <phoneticPr fontId="1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owTickerFrom">
                <anchor moveWithCells="1" sizeWithCells="1">
                  <from>
                    <xdr:col>3</xdr:col>
                    <xdr:colOff>419100</xdr:colOff>
                    <xdr:row>1</xdr:row>
                    <xdr:rowOff>104775</xdr:rowOff>
                  </from>
                  <to>
                    <xdr:col>5</xdr:col>
                    <xdr:colOff>142875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BuildModel">
                <anchor moveWithCells="1" sizeWithCells="1">
                  <from>
                    <xdr:col>3</xdr:col>
                    <xdr:colOff>409575</xdr:colOff>
                    <xdr:row>3</xdr:row>
                    <xdr:rowOff>161925</xdr:rowOff>
                  </from>
                  <to>
                    <xdr:col>5</xdr:col>
                    <xdr:colOff>142875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0B8F1-1B1A-46AB-B6C8-474DCF06203A}">
  <sheetPr codeName="Sheet6"/>
  <dimension ref="A1:J111"/>
  <sheetViews>
    <sheetView workbookViewId="0"/>
  </sheetViews>
  <sheetFormatPr defaultRowHeight="12.75" x14ac:dyDescent="0.2"/>
  <sheetData>
    <row r="1" spans="1:10" x14ac:dyDescent="0.2">
      <c r="A1" t="s">
        <v>1</v>
      </c>
      <c r="B1" t="s">
        <v>5</v>
      </c>
      <c r="C1" t="s">
        <v>12</v>
      </c>
      <c r="D1" t="s">
        <v>6</v>
      </c>
      <c r="E1" t="s">
        <v>7</v>
      </c>
      <c r="F1" t="s">
        <v>8</v>
      </c>
      <c r="G1" t="s">
        <v>9</v>
      </c>
      <c r="H1" t="s">
        <v>11</v>
      </c>
      <c r="I1" t="s">
        <v>10</v>
      </c>
      <c r="J1" t="s">
        <v>13</v>
      </c>
    </row>
    <row r="2" spans="1:10" x14ac:dyDescent="0.2">
      <c r="A2">
        <v>-4.3437982501286658E-2</v>
      </c>
      <c r="B2">
        <v>-5.8050752301819018E-2</v>
      </c>
      <c r="C2">
        <v>4.4297832233741813E-2</v>
      </c>
      <c r="D2">
        <v>-1.5401398960405606E-2</v>
      </c>
      <c r="E2">
        <v>-9.7106619104240954E-2</v>
      </c>
      <c r="F2">
        <v>-7.6230076230075841E-3</v>
      </c>
      <c r="G2">
        <v>-2.6660978991148557E-2</v>
      </c>
      <c r="H2">
        <v>-4.4649184975194829E-2</v>
      </c>
      <c r="I2">
        <v>-1.2938711367207955E-2</v>
      </c>
      <c r="J2">
        <v>-1.4919461315025027E-2</v>
      </c>
    </row>
    <row r="3" spans="1:10" x14ac:dyDescent="0.2">
      <c r="A3">
        <v>-1.8984146218317635E-2</v>
      </c>
      <c r="B3">
        <v>6.8185907046476785E-2</v>
      </c>
      <c r="C3">
        <v>-3.2816773017320069E-2</v>
      </c>
      <c r="D3">
        <v>-3.8679827267118952E-2</v>
      </c>
      <c r="E3">
        <v>-1.7905799922148729E-2</v>
      </c>
      <c r="F3">
        <v>-4.862370199439596E-2</v>
      </c>
      <c r="G3">
        <v>-8.4593422861372232E-3</v>
      </c>
      <c r="H3">
        <v>-0.12032418952618452</v>
      </c>
      <c r="I3">
        <v>-1.775147928994077E-2</v>
      </c>
      <c r="J3">
        <v>-0.12358250404998851</v>
      </c>
    </row>
    <row r="4" spans="1:10" x14ac:dyDescent="0.2">
      <c r="A4">
        <v>4.4629272745714344E-3</v>
      </c>
      <c r="B4">
        <v>-1.0620624184169883E-2</v>
      </c>
      <c r="C4">
        <v>-0.11030008110300077</v>
      </c>
      <c r="D4">
        <v>6.7008952080042178E-2</v>
      </c>
      <c r="E4">
        <v>9.5522388059701577E-2</v>
      </c>
      <c r="F4">
        <v>-7.1045781656714144E-2</v>
      </c>
      <c r="G4">
        <v>0.11075875029363393</v>
      </c>
      <c r="H4">
        <v>-7.3367995378393974E-2</v>
      </c>
      <c r="I4">
        <v>4.703156987393594E-2</v>
      </c>
      <c r="J4">
        <v>4.3845875105689033E-2</v>
      </c>
    </row>
    <row r="5" spans="1:10" x14ac:dyDescent="0.2">
      <c r="A5">
        <v>1.6391752577319622E-2</v>
      </c>
      <c r="B5">
        <v>-1.5249780893952753E-2</v>
      </c>
      <c r="C5">
        <v>-2.4271844660193657E-3</v>
      </c>
      <c r="D5">
        <v>-3.6072670033449948E-3</v>
      </c>
      <c r="E5">
        <v>-3.6367372097801581E-2</v>
      </c>
      <c r="F5">
        <v>8.0933465739821256E-2</v>
      </c>
      <c r="G5">
        <v>1.6232991167343034E-2</v>
      </c>
      <c r="H5">
        <v>-3.9400665926748103E-2</v>
      </c>
      <c r="I5">
        <v>9.1334130694792157E-3</v>
      </c>
      <c r="J5">
        <v>4.1237113402062264E-3</v>
      </c>
    </row>
    <row r="6" spans="1:10" x14ac:dyDescent="0.2">
      <c r="A6">
        <v>2.2883053885901103E-2</v>
      </c>
      <c r="B6">
        <v>2.0268256333830139E-2</v>
      </c>
      <c r="C6">
        <v>2.0644095788604461E-2</v>
      </c>
      <c r="D6">
        <v>9.4008606421713825E-3</v>
      </c>
      <c r="E6">
        <v>-3.6046741929094878E-2</v>
      </c>
      <c r="F6">
        <v>0.12639821029082776</v>
      </c>
      <c r="G6">
        <v>1.6994416120417646E-2</v>
      </c>
      <c r="H6">
        <v>-9.264853977844914E-2</v>
      </c>
      <c r="I6">
        <v>0.14840481987887877</v>
      </c>
      <c r="J6">
        <v>8.5626911314985055E-3</v>
      </c>
    </row>
    <row r="7" spans="1:10" x14ac:dyDescent="0.2">
      <c r="A7">
        <v>6.0026827632461491E-2</v>
      </c>
      <c r="B7">
        <v>9.6835360272002111E-2</v>
      </c>
      <c r="C7">
        <v>3.7703513281919412E-2</v>
      </c>
      <c r="D7">
        <v>6.1937570303712046E-2</v>
      </c>
      <c r="E7">
        <v>5.6718292172457115E-2</v>
      </c>
      <c r="F7">
        <v>-3.7847533632286982E-2</v>
      </c>
      <c r="G7">
        <v>0.11671411142740952</v>
      </c>
      <c r="H7">
        <v>-0.16624685138539047</v>
      </c>
      <c r="I7">
        <v>-1.9587439554385855E-2</v>
      </c>
      <c r="J7">
        <v>1.6664593955975669E-2</v>
      </c>
    </row>
    <row r="8" spans="1:10" x14ac:dyDescent="0.2">
      <c r="A8">
        <v>5.0616559013505438E-2</v>
      </c>
      <c r="B8">
        <v>-6.0276497695852548E-2</v>
      </c>
      <c r="C8">
        <v>8.55813953488372E-2</v>
      </c>
      <c r="D8">
        <v>1.4333594808528985E-2</v>
      </c>
      <c r="E8">
        <v>-3.921174341443788E-2</v>
      </c>
      <c r="F8">
        <v>7.3767334360554659E-2</v>
      </c>
      <c r="G8">
        <v>-3.7812288993923182E-3</v>
      </c>
      <c r="H8">
        <v>-5.0125313283208434E-3</v>
      </c>
      <c r="I8">
        <v>4.8184267932760108E-2</v>
      </c>
      <c r="J8">
        <v>7.4138391664440251E-2</v>
      </c>
    </row>
    <row r="9" spans="1:10" x14ac:dyDescent="0.2">
      <c r="A9">
        <v>1.0202871040455563E-2</v>
      </c>
      <c r="B9">
        <v>0.1069922459529315</v>
      </c>
      <c r="C9">
        <v>-1.7367458866544744E-2</v>
      </c>
      <c r="D9">
        <v>-9.261897976633219E-4</v>
      </c>
      <c r="E9">
        <v>7.9043372517226072E-3</v>
      </c>
      <c r="F9">
        <v>-5.8567543064369842E-2</v>
      </c>
      <c r="G9">
        <v>3.3929070092152923E-2</v>
      </c>
      <c r="H9">
        <v>-4.1633306645316219E-2</v>
      </c>
      <c r="I9">
        <v>-8.0193482688390456E-3</v>
      </c>
      <c r="J9">
        <v>-3.7170418006430873E-2</v>
      </c>
    </row>
    <row r="10" spans="1:10" x14ac:dyDescent="0.2">
      <c r="A10">
        <v>1.554216867469887E-2</v>
      </c>
      <c r="B10">
        <v>3.2733914020792329E-2</v>
      </c>
      <c r="C10">
        <v>1.5784586815227479E-2</v>
      </c>
      <c r="D10">
        <v>-5.9564489112227711E-2</v>
      </c>
      <c r="E10">
        <v>-4.0518638573735859E-4</v>
      </c>
      <c r="F10">
        <v>-0.10673793326854557</v>
      </c>
      <c r="G10">
        <v>5.4786450662739301E-2</v>
      </c>
      <c r="H10">
        <v>-5.1632498101746374E-2</v>
      </c>
      <c r="I10">
        <v>-8.8316931617461875E-3</v>
      </c>
      <c r="J10">
        <v>-8.54373884213213E-3</v>
      </c>
    </row>
    <row r="11" spans="1:10" x14ac:dyDescent="0.2">
      <c r="A11">
        <v>9.4986807387862832E-2</v>
      </c>
      <c r="B11">
        <v>-5.7218543046357526E-2</v>
      </c>
      <c r="C11">
        <v>6.5420560747663824E-3</v>
      </c>
      <c r="D11">
        <v>7.9011345218799791E-3</v>
      </c>
      <c r="E11">
        <v>0.10474485228290062</v>
      </c>
      <c r="F11">
        <v>3.6253776435045383E-2</v>
      </c>
      <c r="G11">
        <v>-1.3081395348837085E-2</v>
      </c>
      <c r="H11">
        <v>-5.2870090634441298E-3</v>
      </c>
      <c r="I11">
        <v>-0.11362111384477741</v>
      </c>
      <c r="J11">
        <v>2.8132992327365583E-3</v>
      </c>
    </row>
    <row r="12" spans="1:10" x14ac:dyDescent="0.2">
      <c r="A12">
        <v>-2.9200819672131163E-2</v>
      </c>
      <c r="B12">
        <v>6.781698606887776E-2</v>
      </c>
      <c r="C12">
        <v>-3.0797101449275353E-2</v>
      </c>
      <c r="D12">
        <v>-3.8503993247191601E-2</v>
      </c>
      <c r="E12">
        <v>9.4893809308631213E-3</v>
      </c>
      <c r="F12">
        <v>6.8891280947255037E-2</v>
      </c>
      <c r="G12">
        <v>2.5946913212048835E-2</v>
      </c>
      <c r="H12">
        <v>-5.5634807417974282E-2</v>
      </c>
      <c r="I12">
        <v>6.0546759176896212E-2</v>
      </c>
      <c r="J12">
        <v>-4.70917653048225E-3</v>
      </c>
    </row>
    <row r="13" spans="1:10" x14ac:dyDescent="0.2">
      <c r="A13">
        <v>5.9263076526667579E-3</v>
      </c>
      <c r="B13">
        <v>-7.0711356243748457E-5</v>
      </c>
      <c r="C13">
        <v>-1.8083182640145886E-3</v>
      </c>
      <c r="D13">
        <v>-7.9548171169017468E-2</v>
      </c>
      <c r="E13">
        <v>1.2119826206265748E-2</v>
      </c>
      <c r="F13">
        <v>4.5778611632270261E-2</v>
      </c>
      <c r="G13">
        <v>3.9528755231746968E-2</v>
      </c>
      <c r="H13">
        <v>-2.7064538514920234E-2</v>
      </c>
      <c r="I13">
        <v>5.8568738229755078E-2</v>
      </c>
      <c r="J13">
        <v>-4.4348707551952419E-3</v>
      </c>
    </row>
    <row r="14" spans="1:10" x14ac:dyDescent="0.2">
      <c r="A14">
        <v>-1.1839592616167953E-2</v>
      </c>
      <c r="B14">
        <v>4.8643037223787433E-2</v>
      </c>
      <c r="C14">
        <v>-7.0588235294117632E-2</v>
      </c>
      <c r="D14">
        <v>-3.1544828384557598E-2</v>
      </c>
      <c r="E14">
        <v>4.7425149700598725E-2</v>
      </c>
      <c r="F14">
        <v>-6.8344694983394572E-2</v>
      </c>
      <c r="G14">
        <v>2.9360140418062921E-2</v>
      </c>
      <c r="H14">
        <v>-3.4686090877551198E-4</v>
      </c>
      <c r="I14">
        <v>-5.35321727764244E-2</v>
      </c>
      <c r="J14">
        <v>8.56230031948884E-3</v>
      </c>
    </row>
    <row r="15" spans="1:10" x14ac:dyDescent="0.2">
      <c r="A15">
        <v>4.8171870829997326E-2</v>
      </c>
      <c r="B15">
        <v>0.1338489994955441</v>
      </c>
      <c r="C15">
        <v>1.3628620102214663E-2</v>
      </c>
      <c r="D15">
        <v>3.8468473883512683E-2</v>
      </c>
      <c r="E15">
        <v>6.1800610376398772E-2</v>
      </c>
      <c r="F15">
        <v>0.10508016225613284</v>
      </c>
      <c r="G15">
        <v>-4.2897998093421675E-3</v>
      </c>
      <c r="H15">
        <v>1.1578947368420993E-2</v>
      </c>
      <c r="I15">
        <v>8.3564024979076737E-2</v>
      </c>
      <c r="J15">
        <v>-2.1874999999999999E-2</v>
      </c>
    </row>
    <row r="16" spans="1:10" x14ac:dyDescent="0.2">
      <c r="A16">
        <v>3.5368886432716254E-2</v>
      </c>
      <c r="B16">
        <v>4.77448907681466E-2</v>
      </c>
      <c r="C16">
        <v>3.1634446397187994E-2</v>
      </c>
      <c r="D16">
        <v>5.1444100360235195E-2</v>
      </c>
      <c r="E16">
        <v>4.7416089504528532E-2</v>
      </c>
      <c r="F16">
        <v>4.9462801540644738E-2</v>
      </c>
      <c r="G16">
        <v>4.0330578512396659E-2</v>
      </c>
      <c r="H16">
        <v>-6.0026385224274413E-2</v>
      </c>
      <c r="I16">
        <v>2.3996308260267749E-2</v>
      </c>
      <c r="J16">
        <v>-7.0523992099453855E-2</v>
      </c>
    </row>
    <row r="17" spans="1:10" x14ac:dyDescent="0.2">
      <c r="A17">
        <v>2.8417163967036092E-2</v>
      </c>
      <c r="B17">
        <v>4.7909166435890313E-2</v>
      </c>
      <c r="C17">
        <v>1.3357079252003592E-2</v>
      </c>
      <c r="D17">
        <v>2.321520951888259E-2</v>
      </c>
      <c r="E17">
        <v>-4.3323139653414951E-2</v>
      </c>
      <c r="F17">
        <v>7.1692374538344497E-2</v>
      </c>
      <c r="G17">
        <v>3.1191409579001163E-2</v>
      </c>
      <c r="H17">
        <v>3.516558552406969E-2</v>
      </c>
      <c r="I17">
        <v>6.6661978763799937E-2</v>
      </c>
      <c r="J17">
        <v>3.3873873873873792E-2</v>
      </c>
    </row>
    <row r="18" spans="1:10" x14ac:dyDescent="0.2">
      <c r="A18">
        <v>8.4604715672676759E-2</v>
      </c>
      <c r="B18">
        <v>-2.1585982658959543E-2</v>
      </c>
      <c r="C18">
        <v>1.9056261343012783E-2</v>
      </c>
      <c r="D18">
        <v>6.5087127212617876E-2</v>
      </c>
      <c r="E18">
        <v>4.6121034390829221E-2</v>
      </c>
      <c r="F18">
        <v>0.16384323640960821</v>
      </c>
      <c r="G18">
        <v>1.2424503882657444E-2</v>
      </c>
      <c r="H18">
        <v>5.7019126669072474E-2</v>
      </c>
      <c r="I18">
        <v>1.825862809680661E-2</v>
      </c>
      <c r="J18">
        <v>5.7142857142857141E-2</v>
      </c>
    </row>
    <row r="19" spans="1:10" x14ac:dyDescent="0.2">
      <c r="A19">
        <v>4.2242210086733095E-2</v>
      </c>
      <c r="B19">
        <v>4.3541364296081639E-3</v>
      </c>
      <c r="C19">
        <v>-1.5192135835567465E-2</v>
      </c>
      <c r="D19">
        <v>-3.2518158192843309E-2</v>
      </c>
      <c r="E19">
        <v>-1.8062827225131015E-2</v>
      </c>
      <c r="F19">
        <v>2.9679770892996633E-2</v>
      </c>
      <c r="G19">
        <v>4.039497307001795E-2</v>
      </c>
      <c r="H19">
        <v>-1.7724211272598368E-2</v>
      </c>
      <c r="I19">
        <v>-3.0408219938905828E-2</v>
      </c>
      <c r="J19">
        <v>-4.5454545454545456E-2</v>
      </c>
    </row>
    <row r="20" spans="1:10" x14ac:dyDescent="0.2">
      <c r="A20">
        <v>-2.3372549019607874E-2</v>
      </c>
      <c r="B20">
        <v>6.5429593118778356E-2</v>
      </c>
      <c r="C20">
        <v>-4.195205479452057E-2</v>
      </c>
      <c r="D20">
        <v>-1.3325338130461877E-4</v>
      </c>
      <c r="E20">
        <v>-4.7143926166126227E-2</v>
      </c>
      <c r="F20">
        <v>5.4640307523338684E-2</v>
      </c>
      <c r="G20">
        <v>2.3393917581429288E-3</v>
      </c>
      <c r="H20">
        <v>-4.4376693766937626E-2</v>
      </c>
      <c r="I20">
        <v>-5.9115552942713506E-2</v>
      </c>
      <c r="J20">
        <v>1.5782445064950279E-3</v>
      </c>
    </row>
    <row r="21" spans="1:10" x14ac:dyDescent="0.2">
      <c r="A21">
        <v>1.7395467602936539E-2</v>
      </c>
      <c r="B21">
        <v>2.3644637910565893E-2</v>
      </c>
      <c r="C21">
        <v>-5.1107325383305362E-3</v>
      </c>
      <c r="D21">
        <v>-2.3265089072054927E-3</v>
      </c>
      <c r="E21">
        <v>4.2585170340681787E-3</v>
      </c>
      <c r="F21">
        <v>-8.2304526748974303E-4</v>
      </c>
      <c r="G21">
        <v>2.0194602533504708E-2</v>
      </c>
      <c r="H21">
        <v>3.3990482664853112E-3</v>
      </c>
      <c r="I21">
        <v>-2.8061710367595631E-2</v>
      </c>
      <c r="J21">
        <v>-1.1994722322178242E-2</v>
      </c>
    </row>
    <row r="22" spans="1:10" x14ac:dyDescent="0.2">
      <c r="A22">
        <v>6.0775351278144513E-2</v>
      </c>
      <c r="B22">
        <v>9.0163934426229497E-2</v>
      </c>
      <c r="C22">
        <v>1.8213356461405105E-2</v>
      </c>
      <c r="D22">
        <v>5.8244231851435013E-2</v>
      </c>
      <c r="E22">
        <v>6.5557236510339172E-3</v>
      </c>
      <c r="F22">
        <v>-5.6188503366131404E-2</v>
      </c>
      <c r="G22">
        <v>0.10756405042700283</v>
      </c>
      <c r="H22">
        <v>-1.1092436974789859E-2</v>
      </c>
      <c r="I22">
        <v>6.4760359629554412E-2</v>
      </c>
      <c r="J22">
        <v>-5.0996015936254864E-2</v>
      </c>
    </row>
    <row r="23" spans="1:10" x14ac:dyDescent="0.2">
      <c r="A23">
        <v>-7.1372425719226529E-2</v>
      </c>
      <c r="B23">
        <v>-4.2742102002890775E-2</v>
      </c>
      <c r="C23">
        <v>-6.7906224737267581E-2</v>
      </c>
      <c r="D23">
        <v>-1.2777777777777801E-2</v>
      </c>
      <c r="E23">
        <v>1.8228498074454268E-2</v>
      </c>
      <c r="F23">
        <v>-7.4748442740776341E-2</v>
      </c>
      <c r="G23">
        <v>-3.4550451511582217E-2</v>
      </c>
      <c r="H23">
        <v>4.9382716049382665E-2</v>
      </c>
      <c r="I23">
        <v>5.5587269872984311E-2</v>
      </c>
      <c r="J23">
        <v>5.297854488792985E-2</v>
      </c>
    </row>
    <row r="24" spans="1:10" x14ac:dyDescent="0.2">
      <c r="A24">
        <v>5.0560910096381778E-3</v>
      </c>
      <c r="B24">
        <v>7.1815868097820007E-2</v>
      </c>
      <c r="C24">
        <v>-4.8270313757039825E-3</v>
      </c>
      <c r="D24">
        <v>6.3672625203131966E-2</v>
      </c>
      <c r="E24">
        <v>8.2837173181465242E-3</v>
      </c>
      <c r="F24">
        <v>-4.7684234542550684E-2</v>
      </c>
      <c r="G24">
        <v>7.0168067226890674E-2</v>
      </c>
      <c r="H24">
        <v>-1.699029126213587E-2</v>
      </c>
      <c r="I24">
        <v>4.3718196803553735E-3</v>
      </c>
      <c r="J24">
        <v>1.5457643622200709E-2</v>
      </c>
    </row>
    <row r="25" spans="1:10" x14ac:dyDescent="0.2">
      <c r="A25">
        <v>7.089678510998304E-2</v>
      </c>
      <c r="B25">
        <v>-0.13990672884743494</v>
      </c>
      <c r="C25">
        <v>1.5522875816993423E-2</v>
      </c>
      <c r="D25">
        <v>-3.6372695565520773E-2</v>
      </c>
      <c r="E25">
        <v>-2.2025316455696137E-2</v>
      </c>
      <c r="F25">
        <v>-4.3162199000455429E-3</v>
      </c>
      <c r="G25">
        <v>-9.6945551128818044E-2</v>
      </c>
      <c r="H25">
        <v>-3.2539416303253903E-2</v>
      </c>
      <c r="I25">
        <v>-5.7229729729729721E-2</v>
      </c>
      <c r="J25">
        <v>5.7536362466211854E-2</v>
      </c>
    </row>
    <row r="26" spans="1:10" x14ac:dyDescent="0.2">
      <c r="A26">
        <v>0.1046728971962617</v>
      </c>
      <c r="B26">
        <v>0.12723956657011051</v>
      </c>
      <c r="C26">
        <v>7.8414096916299608E-2</v>
      </c>
      <c r="D26">
        <v>0.15582064993829711</v>
      </c>
      <c r="E26">
        <v>0.11236271472824563</v>
      </c>
      <c r="F26">
        <v>6.9744835965978247E-2</v>
      </c>
      <c r="G26">
        <v>8.5461285008237201E-2</v>
      </c>
      <c r="H26">
        <v>9.0742773508964536E-2</v>
      </c>
      <c r="I26">
        <v>5.0315804414165097E-2</v>
      </c>
      <c r="J26">
        <v>4.2958786414283835E-2</v>
      </c>
    </row>
    <row r="27" spans="1:10" x14ac:dyDescent="0.2">
      <c r="A27">
        <v>3.8834951456310676E-2</v>
      </c>
      <c r="B27">
        <v>-1.2857602057216816E-3</v>
      </c>
      <c r="C27">
        <v>4.8014773776546588E-2</v>
      </c>
      <c r="D27">
        <v>6.0738284318003259E-2</v>
      </c>
      <c r="E27">
        <v>1.3124108416547814E-2</v>
      </c>
      <c r="F27">
        <v>0.11517615176151762</v>
      </c>
      <c r="G27">
        <v>-6.9731800766283533E-2</v>
      </c>
      <c r="H27">
        <v>9.6047284817140002E-3</v>
      </c>
      <c r="I27">
        <v>-4.5213705404451767E-3</v>
      </c>
      <c r="J27">
        <v>3.8912133891213278E-2</v>
      </c>
    </row>
    <row r="28" spans="1:10" x14ac:dyDescent="0.2">
      <c r="A28">
        <v>-0.22742274227422737</v>
      </c>
      <c r="B28">
        <v>-7.5299712672149091E-2</v>
      </c>
      <c r="C28">
        <v>-0.1418383518225039</v>
      </c>
      <c r="D28">
        <v>-9.3218327134604734E-2</v>
      </c>
      <c r="E28">
        <v>-1.9931662870159537E-3</v>
      </c>
      <c r="F28">
        <v>-0.12621359223300968</v>
      </c>
      <c r="G28">
        <v>-7.0382347346394794E-3</v>
      </c>
      <c r="H28">
        <v>-6.5907522429261567E-2</v>
      </c>
      <c r="I28">
        <v>-6.4255966153235922E-2</v>
      </c>
      <c r="J28">
        <v>-1.3927576601670518E-3</v>
      </c>
    </row>
    <row r="29" spans="1:10" x14ac:dyDescent="0.2">
      <c r="A29">
        <v>-2.9129041654529567E-2</v>
      </c>
      <c r="B29">
        <v>-0.11020012342413822</v>
      </c>
      <c r="C29">
        <v>-1.7133956386292885E-2</v>
      </c>
      <c r="D29">
        <v>-1.2965711161446508E-2</v>
      </c>
      <c r="E29">
        <v>-6.2716840138777735E-2</v>
      </c>
      <c r="F29">
        <v>-6.009347874471406E-2</v>
      </c>
      <c r="G29">
        <v>2.0776699029126218E-2</v>
      </c>
      <c r="H29">
        <v>4.8101265822784879E-2</v>
      </c>
      <c r="I29">
        <v>5.2913552483638141E-4</v>
      </c>
      <c r="J29">
        <v>-4.5339715463369193E-2</v>
      </c>
    </row>
    <row r="30" spans="1:10" x14ac:dyDescent="0.2">
      <c r="A30">
        <v>-2.2076627261073883E-2</v>
      </c>
      <c r="B30">
        <v>-5.7849066526426208E-3</v>
      </c>
      <c r="C30">
        <v>-3.2403918613413692E-2</v>
      </c>
      <c r="D30">
        <v>4.6296296296296563E-3</v>
      </c>
      <c r="E30">
        <v>3.4815211569361394E-3</v>
      </c>
      <c r="F30">
        <v>-8.8241782484005868E-3</v>
      </c>
      <c r="G30">
        <v>3.9354187689202888E-2</v>
      </c>
      <c r="H30">
        <v>3.519281168101826E-2</v>
      </c>
      <c r="I30">
        <v>2.3490387219063085E-2</v>
      </c>
      <c r="J30">
        <v>-4.5003309066843607E-3</v>
      </c>
    </row>
    <row r="31" spans="1:10" x14ac:dyDescent="0.2">
      <c r="A31">
        <v>-8.0531223509466999E-3</v>
      </c>
      <c r="B31">
        <v>8.3372899059918348E-2</v>
      </c>
      <c r="C31">
        <v>0.10307564422277642</v>
      </c>
      <c r="D31">
        <v>-3.3740238077185451E-2</v>
      </c>
      <c r="E31">
        <v>7.9502746458514018E-2</v>
      </c>
      <c r="F31">
        <v>0.21691275167785232</v>
      </c>
      <c r="G31">
        <v>0.18939030244839178</v>
      </c>
      <c r="H31">
        <v>0.14684413911550029</v>
      </c>
      <c r="I31">
        <v>9.3736117281208328E-2</v>
      </c>
      <c r="J31">
        <v>0.11282957725732798</v>
      </c>
    </row>
    <row r="32" spans="1:10" x14ac:dyDescent="0.2">
      <c r="A32">
        <v>-3.3720136518771315E-2</v>
      </c>
      <c r="B32">
        <v>-2.1827976964517874E-2</v>
      </c>
      <c r="C32">
        <v>-2.1951219512195232E-2</v>
      </c>
      <c r="D32">
        <v>-1.9696744462613394E-2</v>
      </c>
      <c r="E32">
        <v>-2.6182432432432422E-2</v>
      </c>
      <c r="F32">
        <v>3.6449638286032343E-2</v>
      </c>
      <c r="G32">
        <v>1.7089843749999896E-2</v>
      </c>
      <c r="H32">
        <v>2.50880281690141E-2</v>
      </c>
      <c r="I32">
        <v>3.2253133598287978E-2</v>
      </c>
      <c r="J32">
        <v>-1.179039301310047E-2</v>
      </c>
    </row>
    <row r="33" spans="1:10" x14ac:dyDescent="0.2">
      <c r="A33">
        <v>8.6752960616909309E-3</v>
      </c>
      <c r="B33">
        <v>-6.6180935033394131E-2</v>
      </c>
      <c r="C33">
        <v>-6.4638783269961947E-2</v>
      </c>
      <c r="D33">
        <v>-7.9501915708812293E-2</v>
      </c>
      <c r="E33">
        <v>-7.1372549019607767E-2</v>
      </c>
      <c r="F33">
        <v>1.5541113308844225E-2</v>
      </c>
      <c r="G33">
        <v>-6.2056331577742173E-2</v>
      </c>
      <c r="H33">
        <v>-4.8974466303892912E-2</v>
      </c>
      <c r="I33">
        <v>-3.3463839846347057E-2</v>
      </c>
      <c r="J33">
        <v>-4.1306168015629273E-2</v>
      </c>
    </row>
    <row r="34" spans="1:10" x14ac:dyDescent="0.2">
      <c r="A34">
        <v>-2.1425683870098227E-2</v>
      </c>
      <c r="B34">
        <v>-3.288314738696408E-2</v>
      </c>
      <c r="C34">
        <v>-2.2761760242791624E-3</v>
      </c>
      <c r="D34">
        <v>-4.0883074407195037E-3</v>
      </c>
      <c r="E34">
        <v>-5.201560468140516E-3</v>
      </c>
      <c r="F34">
        <v>9.397217928902625E-2</v>
      </c>
      <c r="G34">
        <v>5.7897286821705439E-2</v>
      </c>
      <c r="H34">
        <v>-1.7680921052631568E-2</v>
      </c>
      <c r="I34">
        <v>7.5816577922594025E-2</v>
      </c>
      <c r="J34">
        <v>-4.7834174860483768E-2</v>
      </c>
    </row>
    <row r="35" spans="1:10" x14ac:dyDescent="0.2">
      <c r="A35">
        <v>-2.1363576420941641E-2</v>
      </c>
      <c r="B35">
        <v>-3.7309214245336383E-2</v>
      </c>
      <c r="C35">
        <v>-1.0510510510510553E-2</v>
      </c>
      <c r="D35">
        <v>-4.1222969883060054E-2</v>
      </c>
      <c r="E35">
        <v>-7.3270667630754377E-2</v>
      </c>
      <c r="F35">
        <v>-0.10486995019369118</v>
      </c>
      <c r="G35">
        <v>-5.7964399817434939E-2</v>
      </c>
      <c r="H35">
        <v>-1.7373737373737361E-2</v>
      </c>
      <c r="I35">
        <v>-5.2841550621001099E-2</v>
      </c>
      <c r="J35">
        <v>-2.3485143376151398E-2</v>
      </c>
    </row>
    <row r="36" spans="1:10" x14ac:dyDescent="0.2">
      <c r="A36">
        <v>2.931994027419569E-2</v>
      </c>
      <c r="B36">
        <v>4.5420008442380713E-2</v>
      </c>
      <c r="C36">
        <v>-3.9653929343907643E-2</v>
      </c>
      <c r="D36">
        <v>-2.0861855401264305E-3</v>
      </c>
      <c r="E36">
        <v>-3.1234983181161811E-3</v>
      </c>
      <c r="F36">
        <v>-8.6681829668941113E-2</v>
      </c>
      <c r="G36">
        <v>-3.0316441690639465E-2</v>
      </c>
      <c r="H36">
        <v>6.9161920260374984E-3</v>
      </c>
      <c r="I36">
        <v>-3.1514969610566212E-3</v>
      </c>
      <c r="J36">
        <v>-1.6838882510524397E-2</v>
      </c>
    </row>
    <row r="37" spans="1:10" x14ac:dyDescent="0.2">
      <c r="A37">
        <v>-8.6125689678374449E-3</v>
      </c>
      <c r="B37">
        <v>5.7739662053155035E-3</v>
      </c>
      <c r="C37">
        <v>-1.2108262108262104E-2</v>
      </c>
      <c r="D37">
        <v>6.7209350866207454E-2</v>
      </c>
      <c r="E37">
        <v>1.4379722154520993E-2</v>
      </c>
      <c r="F37">
        <v>-8.4451642757982379E-2</v>
      </c>
      <c r="G37">
        <v>0.19645221074927174</v>
      </c>
      <c r="H37">
        <v>9.1474245115452879E-2</v>
      </c>
      <c r="I37">
        <v>-5.3211139528274942E-2</v>
      </c>
      <c r="J37">
        <v>2.7930763178599466E-2</v>
      </c>
    </row>
    <row r="38" spans="1:10" x14ac:dyDescent="0.2">
      <c r="A38">
        <v>-3.9301874595992145E-2</v>
      </c>
      <c r="B38">
        <v>-3.1417057323793136E-2</v>
      </c>
      <c r="C38">
        <v>-1.1963406052076122E-2</v>
      </c>
      <c r="D38">
        <v>-8.8269774498310541E-3</v>
      </c>
      <c r="E38">
        <v>-1.5122419587133833E-2</v>
      </c>
      <c r="F38">
        <v>2.5872300023735965E-2</v>
      </c>
      <c r="G38">
        <v>-7.2901325478645029E-2</v>
      </c>
      <c r="H38">
        <v>-4.5358202628232314E-2</v>
      </c>
      <c r="I38">
        <v>3.0906694009081581E-2</v>
      </c>
      <c r="J38">
        <v>-4.0030211480362447E-2</v>
      </c>
    </row>
    <row r="39" spans="1:10" x14ac:dyDescent="0.2">
      <c r="A39">
        <v>1.1111111111111037E-2</v>
      </c>
      <c r="B39">
        <v>0.10076045627376436</v>
      </c>
      <c r="C39">
        <v>0.11102423768569208</v>
      </c>
      <c r="D39">
        <v>6.3669038362795999E-2</v>
      </c>
      <c r="E39">
        <v>4.5945267386392125E-2</v>
      </c>
      <c r="F39">
        <v>-4.2935029532030905E-2</v>
      </c>
      <c r="G39">
        <v>9.3104373490743186E-2</v>
      </c>
      <c r="H39">
        <v>9.8230912476722498E-2</v>
      </c>
      <c r="I39">
        <v>6.4307428482344692E-2</v>
      </c>
      <c r="J39">
        <v>2.0423892100192725E-2</v>
      </c>
    </row>
    <row r="40" spans="1:10" x14ac:dyDescent="0.2">
      <c r="A40">
        <v>-0.13018760659465609</v>
      </c>
      <c r="B40">
        <v>6.1502979050547676E-2</v>
      </c>
      <c r="C40">
        <v>-4.1229385307346378E-2</v>
      </c>
      <c r="D40">
        <v>-4.4438214060418979E-2</v>
      </c>
      <c r="E40">
        <v>-6.5900562851782418E-2</v>
      </c>
      <c r="F40">
        <v>6.766917293233099E-2</v>
      </c>
      <c r="G40">
        <v>-0.13022170361726951</v>
      </c>
      <c r="H40">
        <v>-5.4577464788732329E-2</v>
      </c>
      <c r="I40">
        <v>8.8071085947942929E-3</v>
      </c>
      <c r="J40">
        <v>-5.441515850844169E-2</v>
      </c>
    </row>
    <row r="41" spans="1:10" x14ac:dyDescent="0.2">
      <c r="A41">
        <v>6.753663003663043E-3</v>
      </c>
      <c r="B41">
        <v>-7.1887263646093491E-2</v>
      </c>
      <c r="C41">
        <v>-1.4771048744460806E-2</v>
      </c>
      <c r="D41">
        <v>-1.0678871090770545E-2</v>
      </c>
      <c r="E41">
        <v>6.043272817707037E-2</v>
      </c>
      <c r="F41">
        <v>1.352015732546699E-2</v>
      </c>
      <c r="G41">
        <v>-2.8344671201814057E-2</v>
      </c>
      <c r="H41">
        <v>-3.7288135593220445E-2</v>
      </c>
      <c r="I41">
        <v>-2.6664575327425568E-3</v>
      </c>
      <c r="J41">
        <v>2.1083963785191652E-2</v>
      </c>
    </row>
    <row r="42" spans="1:10" x14ac:dyDescent="0.2">
      <c r="A42">
        <v>2.740209337880746E-2</v>
      </c>
      <c r="B42">
        <v>0.10593805484316443</v>
      </c>
      <c r="C42">
        <v>0.11624072547403118</v>
      </c>
      <c r="D42">
        <v>-6.818181818181686E-3</v>
      </c>
      <c r="E42">
        <v>8.5876316500135011E-2</v>
      </c>
      <c r="F42">
        <v>0.21288014311270129</v>
      </c>
      <c r="G42">
        <v>2.4628252788104144E-2</v>
      </c>
      <c r="H42">
        <v>2.6533275337103219E-2</v>
      </c>
      <c r="I42">
        <v>6.8370339338081371E-2</v>
      </c>
      <c r="J42">
        <v>-5.6959064327485431E-2</v>
      </c>
    </row>
    <row r="43" spans="1:10" x14ac:dyDescent="0.2">
      <c r="A43">
        <v>3.0666666666666679E-2</v>
      </c>
      <c r="B43">
        <v>7.1896806935927232E-2</v>
      </c>
      <c r="C43">
        <v>-3.8827258320126665E-2</v>
      </c>
      <c r="D43">
        <v>-0.13396158892997739</v>
      </c>
      <c r="E43">
        <v>2.349364289662801E-2</v>
      </c>
      <c r="F43">
        <v>2.1004566210045591E-2</v>
      </c>
      <c r="G43">
        <v>1.2705882352941157E-2</v>
      </c>
      <c r="H43">
        <v>7.4496056091147306E-3</v>
      </c>
      <c r="I43">
        <v>6.4294631710361996E-2</v>
      </c>
      <c r="J43">
        <v>2.8262176788935587E-2</v>
      </c>
    </row>
    <row r="44" spans="1:10" x14ac:dyDescent="0.2">
      <c r="A44">
        <v>-2.2511848341232293E-2</v>
      </c>
      <c r="B44">
        <v>-1.704427353980462E-2</v>
      </c>
      <c r="C44">
        <v>-0.15074024226110366</v>
      </c>
      <c r="D44">
        <v>-1.2835609985869093E-2</v>
      </c>
      <c r="E44">
        <v>-7.8451349974528739E-2</v>
      </c>
      <c r="F44">
        <v>5.4913294797687889E-2</v>
      </c>
      <c r="G44">
        <v>2.0408163265306159E-2</v>
      </c>
      <c r="H44">
        <v>-5.6644880174291506E-3</v>
      </c>
      <c r="I44">
        <v>3.4979233964005596E-2</v>
      </c>
      <c r="J44">
        <v>-5.4361423859888555E-2</v>
      </c>
    </row>
    <row r="45" spans="1:10" x14ac:dyDescent="0.2">
      <c r="A45">
        <v>1.7603086568603907E-2</v>
      </c>
      <c r="B45">
        <v>7.7491601343785022E-2</v>
      </c>
      <c r="C45">
        <v>2.3415977961432497E-2</v>
      </c>
      <c r="D45">
        <v>9.2102917582744751E-3</v>
      </c>
      <c r="E45">
        <v>2.8287061288632748E-2</v>
      </c>
      <c r="F45">
        <v>0.13401310997815002</v>
      </c>
      <c r="G45">
        <v>5.9257375381485206E-2</v>
      </c>
      <c r="H45">
        <v>3.2853285328532877E-2</v>
      </c>
      <c r="I45">
        <v>3.0138809659630988E-2</v>
      </c>
      <c r="J45">
        <v>1.2202141130424797E-2</v>
      </c>
    </row>
    <row r="46" spans="1:10" x14ac:dyDescent="0.2">
      <c r="A46">
        <v>-6.986654704497032E-2</v>
      </c>
      <c r="B46">
        <v>2.880184331797235E-2</v>
      </c>
      <c r="C46">
        <v>-6.1601642710472186E-3</v>
      </c>
      <c r="D46">
        <v>5.7363659210856975E-2</v>
      </c>
      <c r="E46">
        <v>-5.2356020942416557E-4</v>
      </c>
      <c r="F46">
        <v>5.2914110429447957E-2</v>
      </c>
      <c r="G46">
        <v>3.5009212950776476E-2</v>
      </c>
      <c r="H46">
        <v>-4.3066322136089581E-2</v>
      </c>
      <c r="I46">
        <v>2.3749270001946779E-2</v>
      </c>
      <c r="J46">
        <v>-1.7307692307692319E-2</v>
      </c>
    </row>
    <row r="47" spans="1:10" x14ac:dyDescent="0.2">
      <c r="A47">
        <v>3.6860465116279093E-2</v>
      </c>
      <c r="B47">
        <v>2.7583757547058108E-2</v>
      </c>
      <c r="C47">
        <v>4.8815506101938244E-2</v>
      </c>
      <c r="D47">
        <v>-1.6741829863470736E-2</v>
      </c>
      <c r="E47">
        <v>-3.5353535353535318E-2</v>
      </c>
      <c r="F47">
        <v>1.7954722872755555E-2</v>
      </c>
      <c r="G47">
        <v>1.8498659517426404E-2</v>
      </c>
      <c r="H47">
        <v>-1.0651896037494675E-2</v>
      </c>
      <c r="I47">
        <v>-7.4388947927737439E-3</v>
      </c>
      <c r="J47">
        <v>1.4727540500737472E-3</v>
      </c>
    </row>
    <row r="48" spans="1:10" x14ac:dyDescent="0.2">
      <c r="A48">
        <v>4.6610685164902008E-2</v>
      </c>
      <c r="B48">
        <v>7.8799489144316753E-2</v>
      </c>
      <c r="C48">
        <v>1.827485380116959E-2</v>
      </c>
      <c r="D48">
        <v>-5.615160349854225E-2</v>
      </c>
      <c r="E48">
        <v>2.7770568388268888E-2</v>
      </c>
      <c r="F48">
        <v>9.4404100811618999E-2</v>
      </c>
      <c r="G48">
        <v>2.0519835841313273E-2</v>
      </c>
      <c r="H48">
        <v>-3.8200339558573794E-3</v>
      </c>
      <c r="I48">
        <v>6.0258528525610313E-3</v>
      </c>
      <c r="J48">
        <v>-1.1644832605531365E-2</v>
      </c>
    </row>
    <row r="49" spans="1:10" x14ac:dyDescent="0.2">
      <c r="A49">
        <v>-2.6421800947867342E-2</v>
      </c>
      <c r="B49">
        <v>9.9410278011794417E-2</v>
      </c>
      <c r="C49">
        <v>4.3478260869565244E-2</v>
      </c>
      <c r="D49">
        <v>2.0651074212938159E-2</v>
      </c>
      <c r="E49">
        <v>2.3413111342352605E-3</v>
      </c>
      <c r="F49">
        <v>2.3611718408395238E-2</v>
      </c>
      <c r="G49">
        <v>-1.4293419633225489E-2</v>
      </c>
      <c r="H49">
        <v>3.880070546737209E-2</v>
      </c>
      <c r="I49">
        <v>3.5840128863384703E-2</v>
      </c>
      <c r="J49">
        <v>4.8485559990608065E-2</v>
      </c>
    </row>
    <row r="50" spans="1:10" x14ac:dyDescent="0.2">
      <c r="A50">
        <v>-1.3788268286982854E-2</v>
      </c>
      <c r="B50">
        <v>1.9905484748675362E-2</v>
      </c>
      <c r="C50">
        <v>1.3137557959814524E-2</v>
      </c>
      <c r="D50">
        <v>3.9532293986637067E-2</v>
      </c>
      <c r="E50">
        <v>4.5986394557823065E-2</v>
      </c>
      <c r="F50">
        <v>5.391705069124432E-2</v>
      </c>
      <c r="G50">
        <v>6.9821119446047367E-2</v>
      </c>
      <c r="H50">
        <v>1.6129032258064491E-2</v>
      </c>
      <c r="I50">
        <v>-4.3800539083557924E-2</v>
      </c>
      <c r="J50">
        <v>1.4530728918532791E-2</v>
      </c>
    </row>
    <row r="51" spans="1:10" x14ac:dyDescent="0.2">
      <c r="A51">
        <v>7.3641952076276565E-2</v>
      </c>
      <c r="B51">
        <v>5.7549598667272404E-2</v>
      </c>
      <c r="C51">
        <v>2.8616852146263867E-2</v>
      </c>
      <c r="D51">
        <v>5.3784470956385687E-2</v>
      </c>
      <c r="E51">
        <v>5.9688581314878898E-2</v>
      </c>
      <c r="F51">
        <v>7.107601184600186E-2</v>
      </c>
      <c r="G51">
        <v>2.0011771630370798E-2</v>
      </c>
      <c r="H51">
        <v>2.2446174988547962E-2</v>
      </c>
      <c r="I51">
        <v>4.2239389986956893E-2</v>
      </c>
      <c r="J51">
        <v>5.1998496429018812E-2</v>
      </c>
    </row>
    <row r="52" spans="1:10" x14ac:dyDescent="0.2">
      <c r="A52">
        <v>-6.0466760961810577E-2</v>
      </c>
      <c r="B52">
        <v>-0.10770270270270269</v>
      </c>
      <c r="C52">
        <v>-2.253302253302247E-2</v>
      </c>
      <c r="D52">
        <v>-5.803242446573334E-2</v>
      </c>
      <c r="E52">
        <v>-3.2366071428571529E-2</v>
      </c>
      <c r="F52">
        <v>0.11196487376509345</v>
      </c>
      <c r="G52">
        <v>1.1610598392378489E-2</v>
      </c>
      <c r="H52">
        <v>-0.10349075975359355</v>
      </c>
      <c r="I52">
        <v>-5.5887089135170896E-2</v>
      </c>
      <c r="J52">
        <v>-8.9238845144356885E-2</v>
      </c>
    </row>
    <row r="53" spans="1:10" x14ac:dyDescent="0.2">
      <c r="A53">
        <v>5.7459803066184707E-2</v>
      </c>
      <c r="B53">
        <v>8.8616223585549526E-3</v>
      </c>
      <c r="C53">
        <v>-9.6207865168539394E-2</v>
      </c>
      <c r="D53">
        <v>4.391307135072757E-2</v>
      </c>
      <c r="E53">
        <v>8.4089534180278314E-2</v>
      </c>
      <c r="F53">
        <v>1.5607580824971993E-2</v>
      </c>
      <c r="G53">
        <v>-1.8983644859813041E-2</v>
      </c>
      <c r="H53">
        <v>6.0078363082281351E-2</v>
      </c>
      <c r="I53">
        <v>-5.1141470429624407E-2</v>
      </c>
      <c r="J53">
        <v>8.2520074119826953E-2</v>
      </c>
    </row>
    <row r="54" spans="1:10" x14ac:dyDescent="0.2">
      <c r="A54">
        <v>4.8895280428814344E-2</v>
      </c>
      <c r="B54">
        <v>7.0021881838074354E-2</v>
      </c>
      <c r="C54">
        <v>-2.1023125437981331E-3</v>
      </c>
      <c r="D54">
        <v>8.0129240710824501E-3</v>
      </c>
      <c r="E54">
        <v>5.3537284894837583E-2</v>
      </c>
      <c r="F54">
        <v>7.9422382671480163E-2</v>
      </c>
      <c r="G54">
        <v>8.5261489698890691E-2</v>
      </c>
      <c r="H54">
        <v>1.9982238010657162E-2</v>
      </c>
      <c r="I54">
        <v>6.5708812260536389E-2</v>
      </c>
      <c r="J54">
        <v>5.0207576543850607E-2</v>
      </c>
    </row>
    <row r="55" spans="1:10" x14ac:dyDescent="0.2">
      <c r="A55">
        <v>8.6351370543956807E-2</v>
      </c>
      <c r="B55">
        <v>9.6449136276391456E-2</v>
      </c>
      <c r="C55">
        <v>2.0014295925661139E-2</v>
      </c>
      <c r="D55">
        <v>-3.2268150834844578E-2</v>
      </c>
      <c r="E55">
        <v>1.3565891472868156E-2</v>
      </c>
      <c r="F55">
        <v>0.18291814946619217</v>
      </c>
      <c r="G55">
        <v>6.3722184760620387E-2</v>
      </c>
      <c r="H55">
        <v>9.42662779397474E-2</v>
      </c>
      <c r="I55">
        <v>2.4533856722276742E-2</v>
      </c>
      <c r="J55">
        <v>4.1621621621621599E-2</v>
      </c>
    </row>
    <row r="56" spans="1:10" x14ac:dyDescent="0.2">
      <c r="A56">
        <v>5.0268496420047583E-2</v>
      </c>
      <c r="B56">
        <v>-2.1443105337298443E-2</v>
      </c>
      <c r="C56">
        <v>4.1697691734921855E-2</v>
      </c>
      <c r="D56">
        <v>1.5946632782719128E-2</v>
      </c>
      <c r="E56">
        <v>4.1022192333557583E-2</v>
      </c>
      <c r="F56">
        <v>0.13673139158576061</v>
      </c>
      <c r="G56">
        <v>-3.3602150537634886E-3</v>
      </c>
      <c r="H56">
        <v>3.9919151086407235E-2</v>
      </c>
      <c r="I56">
        <v>2.9500909274600945E-2</v>
      </c>
      <c r="J56">
        <v>-1.293850873682805E-2</v>
      </c>
    </row>
    <row r="57" spans="1:10" x14ac:dyDescent="0.2">
      <c r="A57">
        <v>-2.5156318161989093E-2</v>
      </c>
      <c r="B57">
        <v>8.3616010854816819E-2</v>
      </c>
      <c r="C57">
        <v>-4.0714285714285738E-2</v>
      </c>
      <c r="D57">
        <v>-6.0803150545975279E-2</v>
      </c>
      <c r="E57">
        <v>-1.490559788009284E-2</v>
      </c>
      <c r="F57">
        <v>-7.1374906085649961E-2</v>
      </c>
      <c r="G57">
        <v>5.6443024494142693E-2</v>
      </c>
      <c r="H57">
        <v>-5.0383877159309053E-2</v>
      </c>
      <c r="I57">
        <v>-4.4779000193012938E-2</v>
      </c>
      <c r="J57">
        <v>-6.3811188811188801E-2</v>
      </c>
    </row>
    <row r="58" spans="1:10" x14ac:dyDescent="0.2">
      <c r="A58">
        <v>-1.021876799078883E-2</v>
      </c>
      <c r="B58">
        <v>0.14130855594270236</v>
      </c>
      <c r="C58">
        <v>9.8039215686274508E-2</v>
      </c>
      <c r="D58">
        <v>2.0583399305766976E-2</v>
      </c>
      <c r="E58">
        <v>5.7443082311733819E-2</v>
      </c>
      <c r="F58">
        <v>7.3387096774193555E-2</v>
      </c>
      <c r="G58">
        <v>-7.8508341511285523E-2</v>
      </c>
      <c r="H58">
        <v>5.0932929904185659E-2</v>
      </c>
      <c r="I58">
        <v>6.1897929903668852E-2</v>
      </c>
      <c r="J58">
        <v>3.7574501166105098E-2</v>
      </c>
    </row>
    <row r="59" spans="1:10" x14ac:dyDescent="0.2">
      <c r="A59">
        <v>-1.2647434986499936E-2</v>
      </c>
      <c r="B59">
        <v>-0.11827956989247322</v>
      </c>
      <c r="C59">
        <v>-1.3921113689095106E-2</v>
      </c>
      <c r="D59">
        <v>-8.1291261049569213E-2</v>
      </c>
      <c r="E59">
        <v>-9.105380452085321E-2</v>
      </c>
      <c r="F59">
        <v>-8.8235294117647009E-2</v>
      </c>
      <c r="G59">
        <v>-1.0038860103626902E-2</v>
      </c>
      <c r="H59">
        <v>2.527805864509462E-3</v>
      </c>
      <c r="I59">
        <v>8.5788113695090262E-3</v>
      </c>
      <c r="J59">
        <v>-1.293995859213177E-3</v>
      </c>
    </row>
    <row r="60" spans="1:10" x14ac:dyDescent="0.2">
      <c r="A60">
        <v>0.10679458949355153</v>
      </c>
      <c r="B60">
        <v>2.2334671087070337E-2</v>
      </c>
      <c r="C60">
        <v>0.15240641711229938</v>
      </c>
      <c r="D60">
        <v>3.1866989954970615E-2</v>
      </c>
      <c r="E60">
        <v>3.0511811023622038E-2</v>
      </c>
      <c r="F60">
        <v>3.5007610350076032E-2</v>
      </c>
      <c r="G60">
        <v>6.1533172911653458E-2</v>
      </c>
      <c r="H60">
        <v>4.6007403490216869E-2</v>
      </c>
      <c r="I60">
        <v>1.3938377698595664E-2</v>
      </c>
      <c r="J60">
        <v>2.3711749900649177E-2</v>
      </c>
    </row>
    <row r="61" spans="1:10" x14ac:dyDescent="0.2">
      <c r="A61">
        <v>1.7117261238201894E-2</v>
      </c>
      <c r="B61">
        <v>3.4910106475830206E-4</v>
      </c>
      <c r="C61">
        <v>4.2750929368029822E-2</v>
      </c>
      <c r="D61">
        <v>-5.0433066549720365E-2</v>
      </c>
      <c r="E61">
        <v>1.397205588822361E-2</v>
      </c>
      <c r="F61">
        <v>1.6241299303944381E-2</v>
      </c>
      <c r="G61">
        <v>0.15712012728719169</v>
      </c>
      <c r="H61">
        <v>-3.5696073431922451E-2</v>
      </c>
      <c r="I61">
        <v>2.1846219747269292E-2</v>
      </c>
      <c r="J61">
        <v>-1.2428048142333894E-2</v>
      </c>
    </row>
    <row r="62" spans="1:10" x14ac:dyDescent="0.2">
      <c r="A62">
        <v>8.5431498524049215E-2</v>
      </c>
      <c r="B62">
        <v>2.8006301417818412E-3</v>
      </c>
      <c r="C62">
        <v>4.2635658914728633E-2</v>
      </c>
      <c r="D62">
        <v>6.2125181950509388E-2</v>
      </c>
      <c r="E62">
        <v>-5.5904522613065361E-2</v>
      </c>
      <c r="F62">
        <v>0.15240641711229938</v>
      </c>
      <c r="G62">
        <v>2.9062627916496147E-2</v>
      </c>
      <c r="H62">
        <v>-4.5685279187817184E-3</v>
      </c>
      <c r="I62">
        <v>4.7565627103432748E-2</v>
      </c>
      <c r="J62">
        <v>6.1866526260365784E-3</v>
      </c>
    </row>
    <row r="63" spans="1:10" x14ac:dyDescent="0.2">
      <c r="A63">
        <v>5.669724770642208E-2</v>
      </c>
      <c r="B63">
        <v>-2.525166353864523E-2</v>
      </c>
      <c r="C63">
        <v>-2.6415094339622584E-2</v>
      </c>
      <c r="D63">
        <v>-6.8809991904706701E-3</v>
      </c>
      <c r="E63">
        <v>-3.5735917625681499E-2</v>
      </c>
      <c r="F63">
        <v>4.37209302325582E-2</v>
      </c>
      <c r="G63">
        <v>2.1321070234113629E-2</v>
      </c>
      <c r="H63">
        <v>5.0666666666666631E-2</v>
      </c>
      <c r="I63">
        <v>-7.5706969494543832E-3</v>
      </c>
      <c r="J63">
        <v>1.7141350210969864E-3</v>
      </c>
    </row>
    <row r="64" spans="1:10" x14ac:dyDescent="0.2">
      <c r="A64">
        <v>2.6752072343632288E-2</v>
      </c>
      <c r="B64">
        <v>-0.14412967289719633</v>
      </c>
      <c r="C64">
        <v>7.6045627376425924E-3</v>
      </c>
      <c r="D64">
        <v>6.0136087782749967E-2</v>
      </c>
      <c r="E64">
        <v>6.5848934796643083E-2</v>
      </c>
      <c r="F64">
        <v>9.4704684317718904E-2</v>
      </c>
      <c r="G64">
        <v>2.7491408934707928E-2</v>
      </c>
      <c r="H64">
        <v>6.1721404303510752E-2</v>
      </c>
      <c r="I64">
        <v>3.6583958453548615E-2</v>
      </c>
      <c r="J64">
        <v>3.9473684210526452E-2</v>
      </c>
    </row>
    <row r="65" spans="1:10" x14ac:dyDescent="0.2">
      <c r="A65">
        <v>2.8283611003487037E-2</v>
      </c>
      <c r="B65">
        <v>-9.0691807196919369E-2</v>
      </c>
      <c r="C65">
        <v>0.1311827956989246</v>
      </c>
      <c r="D65">
        <v>7.7840242169641746E-3</v>
      </c>
      <c r="E65">
        <v>4.1344537815126065E-2</v>
      </c>
      <c r="F65">
        <v>7.5575027382256244E-2</v>
      </c>
      <c r="G65">
        <v>3.4482758620690453E-3</v>
      </c>
      <c r="H65">
        <v>2.2701475595913248E-3</v>
      </c>
      <c r="I65">
        <v>1.7257572200046943E-2</v>
      </c>
      <c r="J65">
        <v>-1.8034993270524945E-2</v>
      </c>
    </row>
    <row r="66" spans="1:10" x14ac:dyDescent="0.2">
      <c r="A66">
        <v>-1.3542271232346737E-3</v>
      </c>
      <c r="B66">
        <v>-1.2327868852458986E-2</v>
      </c>
      <c r="C66">
        <v>2.5358324145534777E-2</v>
      </c>
      <c r="D66">
        <v>-1.8672324946953527E-2</v>
      </c>
      <c r="E66">
        <v>3.5142658315936035E-2</v>
      </c>
      <c r="F66">
        <v>8.0473372781065269E-2</v>
      </c>
      <c r="G66">
        <v>-5.9586542359140751E-2</v>
      </c>
      <c r="H66">
        <v>3.4168564920274646E-3</v>
      </c>
      <c r="I66">
        <v>5.8794282162834104E-2</v>
      </c>
      <c r="J66">
        <v>-2.7104884116799885E-2</v>
      </c>
    </row>
    <row r="67" spans="1:10" x14ac:dyDescent="0.2">
      <c r="A67">
        <v>-1.2041284403669774E-2</v>
      </c>
      <c r="B67">
        <v>-0.1076653013458163</v>
      </c>
      <c r="C67">
        <v>0.13801756587202016</v>
      </c>
      <c r="D67">
        <v>-6.225127913587275E-2</v>
      </c>
      <c r="E67">
        <v>-9.989665862900541E-3</v>
      </c>
      <c r="F67">
        <v>5.9523809523808254E-3</v>
      </c>
      <c r="G67">
        <v>-4.0824261275272056E-2</v>
      </c>
      <c r="H67">
        <v>-7.2371896460644528E-2</v>
      </c>
      <c r="I67">
        <v>-1.7224529684827714E-2</v>
      </c>
      <c r="J67">
        <v>-3.1327502936952731E-3</v>
      </c>
    </row>
    <row r="68" spans="1:10" x14ac:dyDescent="0.2">
      <c r="A68">
        <v>-2.4790307548928206E-2</v>
      </c>
      <c r="B68">
        <v>2.8165708250206443E-3</v>
      </c>
      <c r="C68">
        <v>5.5629139072847673E-2</v>
      </c>
      <c r="D68">
        <v>6.4641084614453503E-2</v>
      </c>
      <c r="E68">
        <v>-6.162273194111596E-3</v>
      </c>
      <c r="F68">
        <v>-1.8691588785046745E-2</v>
      </c>
      <c r="G68">
        <v>-3.4534534534534596E-2</v>
      </c>
      <c r="H68">
        <v>0.10443407234539084</v>
      </c>
      <c r="I68">
        <v>2.3377922240280093E-2</v>
      </c>
      <c r="J68">
        <v>4.758648981266244E-2</v>
      </c>
    </row>
    <row r="69" spans="1:10" x14ac:dyDescent="0.2">
      <c r="A69">
        <v>1.0167576727546585E-2</v>
      </c>
      <c r="B69">
        <v>9.3838254172015245E-2</v>
      </c>
      <c r="C69">
        <v>1.6150740242261118E-2</v>
      </c>
      <c r="D69">
        <v>-1.5108478878346529E-3</v>
      </c>
      <c r="E69">
        <v>4.8080373161105125E-2</v>
      </c>
      <c r="F69">
        <v>-2.6166097838452636E-2</v>
      </c>
      <c r="G69">
        <v>5.2548399841959775E-2</v>
      </c>
      <c r="H69">
        <v>-1.7472335468841662E-3</v>
      </c>
      <c r="I69">
        <v>2.0410766679423323E-2</v>
      </c>
      <c r="J69">
        <v>1.1759822910901968E-2</v>
      </c>
    </row>
    <row r="70" spans="1:10" x14ac:dyDescent="0.2">
      <c r="A70">
        <v>-5.2444277954673373E-3</v>
      </c>
      <c r="B70">
        <v>4.5918367346938799E-2</v>
      </c>
      <c r="C70">
        <v>-3.6316472114137514E-2</v>
      </c>
      <c r="D70">
        <v>2.0589838309211131E-3</v>
      </c>
      <c r="E70">
        <v>1.901279707495428E-2</v>
      </c>
      <c r="F70">
        <v>-3.4013605442178158E-3</v>
      </c>
      <c r="G70">
        <v>-3.6543585839360522E-2</v>
      </c>
      <c r="H70">
        <v>-4.0603248259858896E-3</v>
      </c>
      <c r="I70">
        <v>1.2529062257814503E-2</v>
      </c>
      <c r="J70">
        <v>1.4883459702330838E-2</v>
      </c>
    </row>
    <row r="71" spans="1:10" x14ac:dyDescent="0.2">
      <c r="A71">
        <v>4.2773437499999956E-2</v>
      </c>
      <c r="B71">
        <v>1.0857763300760003E-2</v>
      </c>
      <c r="C71">
        <v>-9.1872791519434657E-2</v>
      </c>
      <c r="D71">
        <v>1.387609750107442E-2</v>
      </c>
      <c r="E71">
        <v>0.1218211648892536</v>
      </c>
      <c r="F71">
        <v>2.2016222479721841E-2</v>
      </c>
      <c r="G71">
        <v>4.7865975269246082E-2</v>
      </c>
      <c r="H71">
        <v>0.10089399744572147</v>
      </c>
      <c r="I71">
        <v>9.9559721630450293E-2</v>
      </c>
      <c r="J71">
        <v>8.8325183374083155E-2</v>
      </c>
    </row>
    <row r="72" spans="1:10" x14ac:dyDescent="0.2">
      <c r="A72">
        <v>-7.2799710249909388E-2</v>
      </c>
      <c r="B72">
        <v>-1.0741138560687395E-2</v>
      </c>
      <c r="C72">
        <v>-6.3947078280044103E-2</v>
      </c>
      <c r="D72">
        <v>-6.4556889322841926E-2</v>
      </c>
      <c r="E72">
        <v>-9.9371998522349514E-2</v>
      </c>
      <c r="F72">
        <v>9.1024020227560135E-2</v>
      </c>
      <c r="G72">
        <v>-8.2021237641889358E-2</v>
      </c>
      <c r="H72">
        <v>-2.4906600249065915E-2</v>
      </c>
      <c r="I72">
        <v>-1.7031969845036982E-2</v>
      </c>
      <c r="J72">
        <v>-8.3088132268460221E-2</v>
      </c>
    </row>
    <row r="73" spans="1:10" x14ac:dyDescent="0.2">
      <c r="A73">
        <v>4.4251134644477989E-2</v>
      </c>
      <c r="B73">
        <v>-2.6023277102131488E-2</v>
      </c>
      <c r="C73">
        <v>-9.2092092092092084E-2</v>
      </c>
      <c r="D73">
        <v>-7.5243686940659697E-3</v>
      </c>
      <c r="E73">
        <v>1.0074626865671626E-2</v>
      </c>
      <c r="F73">
        <v>5.0825921219822155E-3</v>
      </c>
      <c r="G73">
        <v>-7.630813953488403E-3</v>
      </c>
      <c r="H73">
        <v>-2.4893746205221626E-2</v>
      </c>
      <c r="I73">
        <v>-2.8877440347071712E-2</v>
      </c>
      <c r="J73">
        <v>-4.4636629934439002E-3</v>
      </c>
    </row>
    <row r="74" spans="1:10" x14ac:dyDescent="0.2">
      <c r="A74">
        <v>9.3918080264791037E-2</v>
      </c>
      <c r="B74">
        <v>0.10537727666955755</v>
      </c>
      <c r="C74">
        <v>8.0726538849646891E-3</v>
      </c>
      <c r="D74">
        <v>6.0576748685085606E-2</v>
      </c>
      <c r="E74">
        <v>-3.3469691335068744E-3</v>
      </c>
      <c r="F74">
        <v>-8.2750582750582752E-2</v>
      </c>
      <c r="G74">
        <v>1.6248153618906989E-2</v>
      </c>
      <c r="H74">
        <v>5.3742802303262831E-2</v>
      </c>
      <c r="I74">
        <v>5.5070805321127285E-2</v>
      </c>
      <c r="J74">
        <v>2.6573426573426257E-3</v>
      </c>
    </row>
    <row r="75" spans="1:10" x14ac:dyDescent="0.2">
      <c r="A75">
        <v>5.4767619463233802E-2</v>
      </c>
      <c r="B75">
        <v>0.18825145997938866</v>
      </c>
      <c r="C75">
        <v>-3.0181086519114044E-3</v>
      </c>
      <c r="D75">
        <v>2.5416899138305093E-2</v>
      </c>
      <c r="E75">
        <v>3.7022753567296604E-2</v>
      </c>
      <c r="F75">
        <v>-6.2295081967213145E-2</v>
      </c>
      <c r="G75">
        <v>8.1901717938473714E-2</v>
      </c>
      <c r="H75">
        <v>2.6938239159001322E-2</v>
      </c>
      <c r="I75">
        <v>4.9069627851140399E-2</v>
      </c>
      <c r="J75">
        <v>3.8640325392213778E-2</v>
      </c>
    </row>
    <row r="76" spans="1:10" x14ac:dyDescent="0.2">
      <c r="A76">
        <v>6.7054714784633179E-2</v>
      </c>
      <c r="B76">
        <v>0.1272023233301065</v>
      </c>
      <c r="C76">
        <v>0.15850815850815844</v>
      </c>
      <c r="D76">
        <v>4.7399519511720098E-2</v>
      </c>
      <c r="E76">
        <v>0.10246598639455783</v>
      </c>
      <c r="F76">
        <v>0.11858190709046464</v>
      </c>
      <c r="G76">
        <v>0.13772727272727278</v>
      </c>
      <c r="H76">
        <v>4.4612216884008259E-2</v>
      </c>
      <c r="I76">
        <v>-1.2594458438287071E-2</v>
      </c>
      <c r="J76">
        <v>-1.2055109070034492E-2</v>
      </c>
    </row>
    <row r="77" spans="1:10" x14ac:dyDescent="0.2">
      <c r="A77">
        <v>-1.8061271147690881E-2</v>
      </c>
      <c r="B77">
        <v>5.9487179487179458E-2</v>
      </c>
      <c r="C77">
        <v>1.5384615384615479E-2</v>
      </c>
      <c r="D77">
        <v>-2.1910326432109849E-2</v>
      </c>
      <c r="E77">
        <v>-0.18191304347826087</v>
      </c>
      <c r="F77">
        <v>2.2499999999999964E-2</v>
      </c>
      <c r="G77">
        <v>1.4760147601476028E-2</v>
      </c>
      <c r="H77">
        <v>0.1373926619828259</v>
      </c>
      <c r="I77">
        <v>-2.3158199449992884E-2</v>
      </c>
      <c r="J77">
        <v>5.3682141236957685E-2</v>
      </c>
    </row>
    <row r="78" spans="1:10" x14ac:dyDescent="0.2">
      <c r="A78">
        <v>-5.0987198958559368E-2</v>
      </c>
      <c r="B78">
        <v>-5.5781522370714751E-2</v>
      </c>
      <c r="C78">
        <v>-9.2373791621912046E-2</v>
      </c>
      <c r="D78">
        <v>2.2334761719257221E-2</v>
      </c>
      <c r="E78">
        <v>-4.3261231281198027E-2</v>
      </c>
      <c r="F78">
        <v>-1.9607843137254919E-2</v>
      </c>
      <c r="G78">
        <v>-3.2142857142857091E-2</v>
      </c>
      <c r="H78">
        <v>-4.8291233283803886E-2</v>
      </c>
      <c r="I78">
        <v>2.751338488994659E-2</v>
      </c>
      <c r="J78">
        <v>3.6195549984330853E-2</v>
      </c>
    </row>
    <row r="79" spans="1:10" x14ac:dyDescent="0.2">
      <c r="A79">
        <v>0.13215426185212484</v>
      </c>
      <c r="B79">
        <v>6.1690314620604564E-2</v>
      </c>
      <c r="C79">
        <v>0.2075226977950714</v>
      </c>
      <c r="D79">
        <v>5.5871666552409716E-2</v>
      </c>
      <c r="E79">
        <v>0.14258555133079848</v>
      </c>
      <c r="F79">
        <v>6.3885267275097815E-2</v>
      </c>
      <c r="G79">
        <v>6.9723018147086785E-2</v>
      </c>
      <c r="H79">
        <v>9.7879282218597152E-2</v>
      </c>
      <c r="I79">
        <v>1.3566475731082174E-2</v>
      </c>
      <c r="J79">
        <v>7.5315922493681534E-2</v>
      </c>
    </row>
    <row r="80" spans="1:10" x14ac:dyDescent="0.2">
      <c r="A80">
        <v>-9.6938775510204023E-2</v>
      </c>
      <c r="B80">
        <v>-9.1687041564791315E-3</v>
      </c>
      <c r="C80">
        <v>-0.13077790304396836</v>
      </c>
      <c r="D80">
        <v>1.7153615507984159E-2</v>
      </c>
      <c r="E80">
        <v>2.3744647722849333E-2</v>
      </c>
      <c r="F80">
        <v>-6.8043742405832372E-2</v>
      </c>
      <c r="G80">
        <v>-6.4343163538873899E-2</v>
      </c>
      <c r="H80">
        <v>-5.7647963105303617E-2</v>
      </c>
      <c r="I80">
        <v>4.571248423707449E-2</v>
      </c>
      <c r="J80">
        <v>-1.8846090262853374E-2</v>
      </c>
    </row>
    <row r="81" spans="1:10" x14ac:dyDescent="0.2">
      <c r="A81">
        <v>-6.6108417805201469E-3</v>
      </c>
      <c r="B81">
        <v>-1.4457831325301183E-2</v>
      </c>
      <c r="C81">
        <v>-8.9322381930184908E-2</v>
      </c>
      <c r="D81">
        <v>-5.0516419491525397E-2</v>
      </c>
      <c r="E81">
        <v>-8.2172204358699444E-2</v>
      </c>
      <c r="F81">
        <v>-0.13368421052631574</v>
      </c>
      <c r="G81">
        <v>-2.270742358078601E-2</v>
      </c>
      <c r="H81">
        <v>-8.9573128061581492E-2</v>
      </c>
      <c r="I81">
        <v>6.9841269841269477E-3</v>
      </c>
      <c r="J81">
        <v>-6.6224143254090748E-2</v>
      </c>
    </row>
    <row r="82" spans="1:10" x14ac:dyDescent="0.2">
      <c r="A82">
        <v>-3.1996587030716721E-2</v>
      </c>
      <c r="B82">
        <v>0.16327960756832502</v>
      </c>
      <c r="C82">
        <v>-0.11454545454545452</v>
      </c>
      <c r="D82">
        <v>6.0078607523863022E-2</v>
      </c>
      <c r="E82">
        <v>-6.8862275449101812E-2</v>
      </c>
      <c r="F82">
        <v>-0.12764003673094587</v>
      </c>
      <c r="G82">
        <v>5.3842613897837004E-2</v>
      </c>
      <c r="H82">
        <v>-5.0498338870431994E-2</v>
      </c>
      <c r="I82">
        <v>-3.6844519186668652E-2</v>
      </c>
      <c r="J82">
        <v>-1.9524746481004877E-2</v>
      </c>
    </row>
    <row r="83" spans="1:10" x14ac:dyDescent="0.2">
      <c r="A83">
        <v>5.5770055770056866E-3</v>
      </c>
      <c r="B83">
        <v>-3.4941388638412924E-2</v>
      </c>
      <c r="C83">
        <v>-7.5630252100840359E-2</v>
      </c>
      <c r="D83">
        <v>1.5465754400969194E-2</v>
      </c>
      <c r="E83">
        <v>-3.8387715930902198E-2</v>
      </c>
      <c r="F83">
        <v>-3.457446808510628E-2</v>
      </c>
      <c r="G83">
        <v>3.9215686274509817E-2</v>
      </c>
      <c r="H83">
        <v>-3.1531531531531432E-2</v>
      </c>
      <c r="I83">
        <v>-1.5057973196807711E-2</v>
      </c>
      <c r="J83">
        <v>-2.5084845801977319E-2</v>
      </c>
    </row>
    <row r="84" spans="1:10" x14ac:dyDescent="0.2">
      <c r="A84">
        <v>5.1420838971583081E-2</v>
      </c>
      <c r="B84">
        <v>-6.7174205105238957E-3</v>
      </c>
      <c r="C84">
        <v>-3.5656401944894611E-2</v>
      </c>
      <c r="D84">
        <v>-5.2463665366891815E-3</v>
      </c>
      <c r="E84">
        <v>-4.8401826484018258E-2</v>
      </c>
      <c r="F84">
        <v>6.2444246208740858E-3</v>
      </c>
      <c r="G84">
        <v>-2.8797027403622895E-2</v>
      </c>
      <c r="H84">
        <v>-3.9555006180469754E-2</v>
      </c>
      <c r="I84">
        <v>2.2636279642747135E-2</v>
      </c>
      <c r="J84">
        <v>-4.5761757251478456E-2</v>
      </c>
    </row>
    <row r="85" spans="1:10" x14ac:dyDescent="0.2">
      <c r="A85">
        <v>8.9970501474926343E-2</v>
      </c>
      <c r="B85">
        <v>4.7244094488187571E-3</v>
      </c>
      <c r="C85">
        <v>3.7846930193439807E-2</v>
      </c>
      <c r="D85">
        <v>4.6054583209730111E-2</v>
      </c>
      <c r="E85">
        <v>7.7402427025254281E-2</v>
      </c>
      <c r="F85">
        <v>-6.8936877076411829E-2</v>
      </c>
      <c r="G85">
        <v>2.0862968231389344E-2</v>
      </c>
      <c r="H85">
        <v>1.9533711405167013E-2</v>
      </c>
      <c r="I85">
        <v>0.10329595650696566</v>
      </c>
      <c r="J85">
        <v>4.5641931684334426E-2</v>
      </c>
    </row>
    <row r="86" spans="1:10" x14ac:dyDescent="0.2">
      <c r="A86">
        <v>3.7490436113236388E-2</v>
      </c>
      <c r="B86">
        <v>-1.3318534961154148E-2</v>
      </c>
      <c r="C86">
        <v>-9.1666666666666199E-3</v>
      </c>
      <c r="D86">
        <v>7.3963391856556532E-3</v>
      </c>
      <c r="E86">
        <v>1.633333333333328E-2</v>
      </c>
      <c r="F86">
        <v>6.7375886524822681E-2</v>
      </c>
      <c r="G86">
        <v>-4.440416855459902E-2</v>
      </c>
      <c r="H86">
        <v>-4.1087613293051446E-2</v>
      </c>
      <c r="I86">
        <v>-1.9653564290473012E-2</v>
      </c>
      <c r="J86">
        <v>-1.6364952932657429E-2</v>
      </c>
    </row>
    <row r="87" spans="1:10" x14ac:dyDescent="0.2">
      <c r="A87">
        <v>4.3545081967213553E-3</v>
      </c>
      <c r="B87">
        <v>4.0896487985212476E-2</v>
      </c>
      <c r="C87">
        <v>-5.660377358490571E-2</v>
      </c>
      <c r="D87">
        <v>3.1477179045191297E-3</v>
      </c>
      <c r="E87">
        <v>2.7045532351934239E-2</v>
      </c>
      <c r="F87">
        <v>-1.7699115044248982E-3</v>
      </c>
      <c r="G87">
        <v>-3.5823503713411982E-2</v>
      </c>
      <c r="H87">
        <v>4.5483259633607116E-2</v>
      </c>
      <c r="I87">
        <v>4.3992349156668428E-2</v>
      </c>
      <c r="J87">
        <v>6.5750887482636064E-2</v>
      </c>
    </row>
    <row r="88" spans="1:10" x14ac:dyDescent="0.2">
      <c r="A88">
        <v>1.4816740317130239E-2</v>
      </c>
      <c r="B88">
        <v>5.2017501215362194E-2</v>
      </c>
      <c r="C88">
        <v>-5.0037341299477213E-2</v>
      </c>
      <c r="D88">
        <v>0.10391329527591629</v>
      </c>
      <c r="E88">
        <v>2.4912280701754417E-2</v>
      </c>
      <c r="F88">
        <v>-8.6499595796281206E-2</v>
      </c>
      <c r="G88">
        <v>-6.5104166666666054E-3</v>
      </c>
      <c r="H88">
        <v>0.10160055671537933</v>
      </c>
      <c r="I88">
        <v>-5.1894135962636959E-3</v>
      </c>
      <c r="J88">
        <v>0.10337193460490476</v>
      </c>
    </row>
    <row r="89" spans="1:10" x14ac:dyDescent="0.2">
      <c r="A89">
        <v>-6.9695405265875867E-3</v>
      </c>
      <c r="B89">
        <v>3.67943548387097E-2</v>
      </c>
      <c r="C89">
        <v>5.3501180173092029E-2</v>
      </c>
      <c r="D89">
        <v>3.7421680542442701E-2</v>
      </c>
      <c r="E89">
        <v>0.15759545085296503</v>
      </c>
      <c r="F89">
        <v>-2.521670606776992E-2</v>
      </c>
      <c r="G89">
        <v>0.10503597122302147</v>
      </c>
      <c r="H89">
        <v>0.16450567260940027</v>
      </c>
      <c r="I89">
        <v>6.7984481803066682E-2</v>
      </c>
      <c r="J89">
        <v>5.1199427139276756E-2</v>
      </c>
    </row>
    <row r="90" spans="1:10" x14ac:dyDescent="0.2">
      <c r="A90">
        <v>4.2518837459634161E-2</v>
      </c>
      <c r="B90">
        <v>3.3602500651211231E-2</v>
      </c>
      <c r="C90">
        <v>0.12777284826974281</v>
      </c>
      <c r="D90">
        <v>-1.0530785562632653E-2</v>
      </c>
      <c r="E90">
        <v>-7.9626168224299035E-2</v>
      </c>
      <c r="F90">
        <v>-3.2036613272311207E-2</v>
      </c>
      <c r="G90">
        <v>-4.7074954296160772E-2</v>
      </c>
      <c r="H90">
        <v>-1.2009607686148947E-2</v>
      </c>
      <c r="I90">
        <v>7.7213930348258755E-2</v>
      </c>
      <c r="J90">
        <v>5.2770448548812611E-2</v>
      </c>
    </row>
    <row r="91" spans="1:10" x14ac:dyDescent="0.2">
      <c r="A91">
        <v>-8.8023472926115065E-3</v>
      </c>
      <c r="B91">
        <v>6.0790273556231088E-2</v>
      </c>
      <c r="C91">
        <v>0.15471311475409835</v>
      </c>
      <c r="D91">
        <v>7.0551868351668379E-2</v>
      </c>
      <c r="E91">
        <v>9.6311475409836131E-2</v>
      </c>
      <c r="F91">
        <v>5.3012048192771097E-2</v>
      </c>
      <c r="G91">
        <v>8.8557213930348128E-2</v>
      </c>
      <c r="H91">
        <v>-1.4206787687450649E-2</v>
      </c>
      <c r="I91">
        <v>-2.3513408472600094E-2</v>
      </c>
      <c r="J91">
        <v>7.6049482863516524E-2</v>
      </c>
    </row>
    <row r="92" spans="1:10" x14ac:dyDescent="0.2">
      <c r="A92">
        <v>5.3978071408490348E-2</v>
      </c>
      <c r="B92">
        <v>0.16704288939051906</v>
      </c>
      <c r="C92">
        <v>8.4444444444444419E-2</v>
      </c>
      <c r="D92">
        <v>8.9441362916006351E-2</v>
      </c>
      <c r="E92">
        <v>0.22921914357682605</v>
      </c>
      <c r="F92">
        <v>0.18233618233618235</v>
      </c>
      <c r="G92">
        <v>4.3613707165109025E-2</v>
      </c>
      <c r="H92">
        <v>0.13024085637823363</v>
      </c>
      <c r="I92">
        <v>0.14127300953648253</v>
      </c>
      <c r="J92">
        <v>4.5367818528725894E-2</v>
      </c>
    </row>
    <row r="93" spans="1:10" x14ac:dyDescent="0.2">
      <c r="A93">
        <v>-0.10673028628829734</v>
      </c>
      <c r="B93">
        <v>-5.486132276744897E-2</v>
      </c>
      <c r="C93">
        <v>-0.11591355599214143</v>
      </c>
      <c r="D93">
        <v>-3.6273386788850816E-2</v>
      </c>
      <c r="E93">
        <v>-7.5884543761638681E-2</v>
      </c>
      <c r="F93">
        <v>-8.2752613240418202E-2</v>
      </c>
      <c r="G93">
        <v>-8.5904129093497802E-2</v>
      </c>
      <c r="H93">
        <v>-0.10176282051282047</v>
      </c>
      <c r="I93">
        <v>0</v>
      </c>
      <c r="J93">
        <v>-2.5375343624444375E-3</v>
      </c>
    </row>
    <row r="94" spans="1:10" x14ac:dyDescent="0.2">
      <c r="A94">
        <v>0.12454109008754601</v>
      </c>
      <c r="B94">
        <v>2.2755610972568705E-2</v>
      </c>
      <c r="C94">
        <v>0.26616915422885584</v>
      </c>
      <c r="D94">
        <v>3.9801488833746949E-2</v>
      </c>
      <c r="E94">
        <v>0.10380267214799586</v>
      </c>
      <c r="F94">
        <v>8.5066162570888504E-2</v>
      </c>
      <c r="G94">
        <v>0.12193823216187429</v>
      </c>
      <c r="H94">
        <v>0.11827956989247314</v>
      </c>
      <c r="I94">
        <v>3.4174311926605548E-2</v>
      </c>
      <c r="J94">
        <v>4.5776205218929687E-2</v>
      </c>
    </row>
    <row r="95" spans="1:10" x14ac:dyDescent="0.2">
      <c r="A95">
        <v>0</v>
      </c>
      <c r="B95">
        <v>-2.0757020757020749E-2</v>
      </c>
      <c r="C95">
        <v>-0.14010695187165781</v>
      </c>
      <c r="D95">
        <v>-1.4187866927592982E-2</v>
      </c>
      <c r="E95">
        <v>-4.9340498290180661E-2</v>
      </c>
      <c r="F95">
        <v>-0.10717299578059068</v>
      </c>
      <c r="G95">
        <v>-0.10826210826210815</v>
      </c>
      <c r="H95">
        <v>-0.11217183770883056</v>
      </c>
      <c r="I95">
        <v>-5.8721934369602741E-2</v>
      </c>
      <c r="J95">
        <v>-5.6146942183260239E-2</v>
      </c>
    </row>
    <row r="96" spans="1:10" x14ac:dyDescent="0.2">
      <c r="A96">
        <v>-0.13549804687500011</v>
      </c>
      <c r="B96">
        <v>-1.6216216216216193E-2</v>
      </c>
      <c r="C96">
        <v>-9.9229287090558865E-2</v>
      </c>
      <c r="D96">
        <v>-2.4064171122994613E-2</v>
      </c>
      <c r="E96">
        <v>-0.12745098039215694</v>
      </c>
      <c r="F96">
        <v>-5.5776892430278967E-2</v>
      </c>
      <c r="G96">
        <v>-0.15114873035066506</v>
      </c>
      <c r="H96">
        <v>-0.13370089593383869</v>
      </c>
      <c r="I96">
        <v>-1.0467848750267079E-2</v>
      </c>
      <c r="J96">
        <v>-0.10179977502812161</v>
      </c>
    </row>
    <row r="97" spans="1:10" x14ac:dyDescent="0.2">
      <c r="A97">
        <v>0.11790393013100438</v>
      </c>
      <c r="B97">
        <v>0.11111111111111106</v>
      </c>
      <c r="C97">
        <v>3.5928143712574974E-2</v>
      </c>
      <c r="D97">
        <v>5.8591873979444761E-3</v>
      </c>
      <c r="E97">
        <v>8.1650193382037505E-3</v>
      </c>
      <c r="F97">
        <v>-3.1771247021444913E-3</v>
      </c>
      <c r="G97">
        <v>4.2436974789915878E-2</v>
      </c>
      <c r="H97">
        <v>3.6428571428571414E-2</v>
      </c>
      <c r="I97">
        <v>-1.056859015007398E-2</v>
      </c>
      <c r="J97">
        <v>1.1952191235059809E-2</v>
      </c>
    </row>
    <row r="98" spans="1:10" x14ac:dyDescent="0.2">
      <c r="A98">
        <v>8.4986674563221717E-2</v>
      </c>
      <c r="B98">
        <v>0.14827586206896542</v>
      </c>
      <c r="C98">
        <v>7.0512820512820526E-2</v>
      </c>
      <c r="D98">
        <v>8.6223600077504417E-3</v>
      </c>
      <c r="E98">
        <v>4.3030031376064586E-2</v>
      </c>
      <c r="F98">
        <v>5.1796157059314889E-2</v>
      </c>
      <c r="G98">
        <v>2.1459227467811159E-2</v>
      </c>
      <c r="H98">
        <v>0.1336032388663968</v>
      </c>
      <c r="I98">
        <v>-2.0699648105982196E-2</v>
      </c>
      <c r="J98">
        <v>3.0297107114933629E-2</v>
      </c>
    </row>
    <row r="99" spans="1:10" x14ac:dyDescent="0.2">
      <c r="A99">
        <v>1.4114114114114295E-2</v>
      </c>
      <c r="B99">
        <v>6.5306122448979653E-2</v>
      </c>
      <c r="C99">
        <v>8.333333333333319E-2</v>
      </c>
      <c r="D99">
        <v>4.3574967141846145E-2</v>
      </c>
      <c r="E99">
        <v>6.8998562529947183E-2</v>
      </c>
      <c r="F99">
        <v>0.11038961038961051</v>
      </c>
      <c r="G99">
        <v>2.2378236068451143E-2</v>
      </c>
      <c r="H99">
        <v>4.8820179007323435E-3</v>
      </c>
      <c r="I99">
        <v>6.4800528983910186E-2</v>
      </c>
      <c r="J99">
        <v>1.5482334259626716E-2</v>
      </c>
    </row>
    <row r="100" spans="1:10" x14ac:dyDescent="0.2">
      <c r="A100">
        <v>-6.6442388561816779E-2</v>
      </c>
      <c r="B100">
        <v>-8.854166666666663E-2</v>
      </c>
      <c r="C100">
        <v>8.4065244667503244E-2</v>
      </c>
      <c r="D100">
        <v>-6.503450231590896E-2</v>
      </c>
      <c r="E100">
        <v>-5.8212996389891657E-2</v>
      </c>
      <c r="F100">
        <v>-9.1911764705883657E-3</v>
      </c>
      <c r="G100">
        <v>-7.5456389452332642E-2</v>
      </c>
      <c r="H100">
        <v>6.3148788927335525E-2</v>
      </c>
      <c r="I100">
        <v>-2.9311082584510151E-2</v>
      </c>
      <c r="J100">
        <v>-5.5138784696174004E-2</v>
      </c>
    </row>
    <row r="101" spans="1:10" x14ac:dyDescent="0.2">
      <c r="A101">
        <v>-3.1233025529603439E-2</v>
      </c>
      <c r="B101">
        <v>5.4117647058823493E-2</v>
      </c>
      <c r="C101">
        <v>0.1241184767277856</v>
      </c>
      <c r="D101">
        <v>3.6039565174811543E-2</v>
      </c>
      <c r="E101">
        <v>0.11133400200601799</v>
      </c>
      <c r="F101">
        <v>0.24342857142857152</v>
      </c>
      <c r="G101">
        <v>3.614964270701973E-2</v>
      </c>
      <c r="H101">
        <v>-5.0123253903040219E-2</v>
      </c>
      <c r="I101">
        <v>-1.2465666596239095E-2</v>
      </c>
      <c r="J101">
        <v>-9.1652470187393559E-2</v>
      </c>
    </row>
    <row r="102" spans="1:10" x14ac:dyDescent="0.2">
      <c r="A102">
        <v>0.20052168242582322</v>
      </c>
      <c r="B102">
        <v>6.0732113144758772E-2</v>
      </c>
      <c r="C102">
        <v>0.27060931899641572</v>
      </c>
      <c r="D102">
        <v>5.2246496290189536E-2</v>
      </c>
      <c r="E102">
        <v>4.6169989506820705E-2</v>
      </c>
      <c r="F102">
        <v>9.5118898623279075E-2</v>
      </c>
      <c r="G102">
        <v>6.5382892969099909E-2</v>
      </c>
      <c r="H102">
        <v>0.12373037857802399</v>
      </c>
      <c r="I102">
        <v>5.3885548875528877E-2</v>
      </c>
      <c r="J102">
        <v>5.367079518937358E-2</v>
      </c>
    </row>
    <row r="103" spans="1:10" x14ac:dyDescent="0.2">
      <c r="A103">
        <v>2.7815013404825801E-2</v>
      </c>
      <c r="B103">
        <v>1.6920473773265592E-2</v>
      </c>
      <c r="C103">
        <v>-2.9565217391304334E-2</v>
      </c>
      <c r="D103">
        <v>8.4173334718902863E-3</v>
      </c>
      <c r="E103">
        <v>1.4909478168263981E-2</v>
      </c>
      <c r="F103">
        <v>-0.12486308871851046</v>
      </c>
      <c r="G103">
        <v>7.8223080637373127E-2</v>
      </c>
      <c r="H103">
        <v>-0.1315156375300722</v>
      </c>
      <c r="I103">
        <v>1.1486486486486442E-2</v>
      </c>
      <c r="J103">
        <v>4.4431946006749108E-2</v>
      </c>
    </row>
    <row r="104" spans="1:10" x14ac:dyDescent="0.2">
      <c r="A104">
        <v>7.427413909520556E-3</v>
      </c>
      <c r="B104">
        <v>0.10209790209790216</v>
      </c>
      <c r="C104">
        <v>-5.1155115511551094E-2</v>
      </c>
      <c r="D104">
        <v>1.3160665403242787E-2</v>
      </c>
      <c r="E104">
        <v>-4.7667342799188529E-2</v>
      </c>
      <c r="F104">
        <v>0.17352185089974298</v>
      </c>
      <c r="G104">
        <v>4.3324937027707774E-2</v>
      </c>
      <c r="H104">
        <v>0.18875119161105819</v>
      </c>
      <c r="I104">
        <v>0.10585305105853052</v>
      </c>
      <c r="J104">
        <v>-7.8124999999999003E-3</v>
      </c>
    </row>
    <row r="105" spans="1:10" x14ac:dyDescent="0.2">
      <c r="A105">
        <v>0.19387343812978647</v>
      </c>
      <c r="B105">
        <v>2.9270633397312833E-2</v>
      </c>
      <c r="C105">
        <v>-5.0156739811912272E-2</v>
      </c>
      <c r="D105">
        <v>5.7179161372300537E-3</v>
      </c>
      <c r="E105">
        <v>-1.1033099297893801E-2</v>
      </c>
      <c r="F105">
        <v>4.2895442359249365E-2</v>
      </c>
      <c r="G105">
        <v>5.4168879447690027E-2</v>
      </c>
      <c r="H105">
        <v>3.6561264822134489E-2</v>
      </c>
      <c r="I105">
        <v>3.3728115345005021E-2</v>
      </c>
      <c r="J105">
        <v>-1.1583011583011629E-2</v>
      </c>
    </row>
    <row r="106" spans="1:10" x14ac:dyDescent="0.2">
      <c r="A106">
        <v>0.21916461916461902</v>
      </c>
      <c r="B106">
        <v>0.1469455145844798</v>
      </c>
      <c r="C106">
        <v>0.31818181818181818</v>
      </c>
      <c r="D106">
        <v>0.12939488160727089</v>
      </c>
      <c r="E106">
        <v>3.5844155844155907E-2</v>
      </c>
      <c r="F106">
        <v>0.16562499999999994</v>
      </c>
      <c r="G106">
        <v>-1.0509721492380601E-2</v>
      </c>
      <c r="H106">
        <v>0.14350282485875701</v>
      </c>
      <c r="I106">
        <v>8.1291759465478883E-2</v>
      </c>
      <c r="J106">
        <v>6.8493150684931026E-3</v>
      </c>
    </row>
    <row r="107" spans="1:10" x14ac:dyDescent="0.2">
      <c r="A107">
        <v>-5.7870370370370364E-2</v>
      </c>
      <c r="B107">
        <v>4.9076212471131718E-2</v>
      </c>
      <c r="C107">
        <v>5.4466230936819175E-2</v>
      </c>
      <c r="D107">
        <v>-1.7506755962871517E-2</v>
      </c>
      <c r="E107">
        <v>9.3128904031800144E-2</v>
      </c>
      <c r="F107">
        <v>0</v>
      </c>
      <c r="G107">
        <v>0.13747758517632999</v>
      </c>
      <c r="H107">
        <v>-0.12289395441030726</v>
      </c>
      <c r="I107">
        <v>-5.6474914630942959E-2</v>
      </c>
      <c r="J107">
        <v>8.2120194102277867E-3</v>
      </c>
    </row>
    <row r="108" spans="1:10" x14ac:dyDescent="0.2">
      <c r="A108">
        <v>-1.4598540145985413E-2</v>
      </c>
      <c r="B108">
        <v>7.9127725856697792E-2</v>
      </c>
      <c r="C108">
        <v>-3.7735849056603717E-2</v>
      </c>
      <c r="D108">
        <v>3.5149598637801031E-2</v>
      </c>
      <c r="E108">
        <v>1.3233601841196803E-2</v>
      </c>
      <c r="F108">
        <v>-3.4690799396681682E-2</v>
      </c>
      <c r="G108">
        <v>3.784119106699748E-2</v>
      </c>
      <c r="H108">
        <v>6.5469904963041101E-2</v>
      </c>
      <c r="I108">
        <v>2.1058173203474147E-3</v>
      </c>
      <c r="J108">
        <v>4.6280023432923208E-2</v>
      </c>
    </row>
    <row r="109" spans="1:10" x14ac:dyDescent="0.2">
      <c r="A109">
        <v>0.87510692899914477</v>
      </c>
      <c r="B109">
        <v>0.19686800894854589</v>
      </c>
      <c r="C109">
        <v>1.2714285714285711</v>
      </c>
      <c r="D109">
        <v>6.516388133177875E-2</v>
      </c>
      <c r="E109">
        <v>7.2839506172839491E-2</v>
      </c>
      <c r="F109">
        <v>0.10132890365448512</v>
      </c>
      <c r="G109">
        <v>0.10259917920656647</v>
      </c>
      <c r="H109">
        <v>0.25099075297225898</v>
      </c>
      <c r="I109">
        <v>4.9157691245512322E-2</v>
      </c>
      <c r="J109">
        <v>-2.1028484037468962E-2</v>
      </c>
    </row>
    <row r="110" spans="1:10" x14ac:dyDescent="0.2">
      <c r="A110">
        <v>0.13056092843326883</v>
      </c>
      <c r="B110">
        <v>0.17734855136084279</v>
      </c>
      <c r="C110">
        <v>0.32075471698113206</v>
      </c>
      <c r="D110">
        <v>5.2782324058919868E-2</v>
      </c>
      <c r="E110">
        <v>0.16295764536970564</v>
      </c>
      <c r="F110">
        <v>7.4999999999999997E-2</v>
      </c>
      <c r="G110">
        <v>0.13774319066147858</v>
      </c>
      <c r="H110">
        <v>0.18838304552590268</v>
      </c>
      <c r="I110">
        <v>9.395770392749242E-2</v>
      </c>
      <c r="J110">
        <v>3.0680728667306558E-3</v>
      </c>
    </row>
    <row r="111" spans="1:10" x14ac:dyDescent="0.2">
      <c r="A111">
        <v>-0.2794425087108014</v>
      </c>
      <c r="B111">
        <v>-9.5652173913042988E-3</v>
      </c>
      <c r="C111">
        <v>6.7114093959731599E-2</v>
      </c>
      <c r="D111">
        <v>9.6392178463231698E-3</v>
      </c>
      <c r="E111">
        <v>-7.6872100728959586E-2</v>
      </c>
      <c r="F111">
        <v>-0.16167664670658685</v>
      </c>
      <c r="G111">
        <v>-4.8852701702442644E-2</v>
      </c>
      <c r="H111">
        <v>-0.27777777777777779</v>
      </c>
      <c r="I111">
        <v>-5.6173367550613029E-2</v>
      </c>
      <c r="J111">
        <v>-0.10778443113772462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6E9645-8617-4189-AE22-A7860CCDDB9E}">
  <sheetPr codeName="Sheet5"/>
  <dimension ref="A1:K17"/>
  <sheetViews>
    <sheetView zoomScale="145" zoomScaleNormal="145" workbookViewId="0">
      <selection activeCell="B8" sqref="B8:E11"/>
    </sheetView>
  </sheetViews>
  <sheetFormatPr defaultRowHeight="12.75" x14ac:dyDescent="0.2"/>
  <cols>
    <col min="1" max="1" width="12.7109375" customWidth="1"/>
  </cols>
  <sheetData>
    <row r="1" spans="1:11" x14ac:dyDescent="0.2">
      <c r="A1" s="5" t="s">
        <v>18</v>
      </c>
    </row>
    <row r="3" spans="1:11" x14ac:dyDescent="0.2">
      <c r="A3" s="5" t="s">
        <v>19</v>
      </c>
      <c r="B3" t="s">
        <v>1</v>
      </c>
      <c r="C3" t="s">
        <v>5</v>
      </c>
      <c r="D3" t="s">
        <v>12</v>
      </c>
      <c r="E3" t="s">
        <v>6</v>
      </c>
      <c r="F3" t="s">
        <v>7</v>
      </c>
      <c r="G3" t="s">
        <v>8</v>
      </c>
      <c r="H3" t="s">
        <v>9</v>
      </c>
      <c r="I3" t="s">
        <v>11</v>
      </c>
      <c r="J3" t="s">
        <v>10</v>
      </c>
      <c r="K3" t="s">
        <v>13</v>
      </c>
    </row>
    <row r="4" spans="1:11" x14ac:dyDescent="0.2">
      <c r="A4" s="5" t="s">
        <v>20</v>
      </c>
      <c r="B4">
        <f>AVERAGE(AXP)</f>
        <v>2.1840104775117303E-2</v>
      </c>
      <c r="C4">
        <f>AVERAGE(AAPL)</f>
        <v>2.7206284633990656E-2</v>
      </c>
      <c r="D4">
        <f>AVERAGE(F)</f>
        <v>2.6054487681985379E-2</v>
      </c>
      <c r="E4">
        <f>AVERAGE(IBM)</f>
        <v>7.9426202374320541E-3</v>
      </c>
      <c r="F4">
        <f>AVERAGE(ORCL)</f>
        <v>1.2173150316949318E-2</v>
      </c>
      <c r="G4">
        <f>AVERAGE(LUV)</f>
        <v>2.3195129182859479E-2</v>
      </c>
      <c r="H4">
        <f>AVERAGE(MSFT)</f>
        <v>1.9497084587702763E-2</v>
      </c>
      <c r="I4">
        <f>AVERAGE(GE)</f>
        <v>7.0263881090105495E-3</v>
      </c>
      <c r="J4">
        <f>AVERAGE(COST)</f>
        <v>1.6489568590550025E-2</v>
      </c>
      <c r="K4">
        <f>AVERAGE(XOM)</f>
        <v>3.275514131815818E-3</v>
      </c>
    </row>
    <row r="5" spans="1:11" x14ac:dyDescent="0.2">
      <c r="A5" s="5" t="s">
        <v>21</v>
      </c>
      <c r="B5">
        <f>STDEV(AXP)</f>
        <v>0.10841707775796969</v>
      </c>
      <c r="C5">
        <f>STDEV(AAPL)</f>
        <v>7.2357895815113968E-2</v>
      </c>
      <c r="D5">
        <f>STDEV(F)</f>
        <v>0.14906609687726241</v>
      </c>
      <c r="E5">
        <f>STDEV(IBM)</f>
        <v>4.765950410397253E-2</v>
      </c>
      <c r="F5">
        <f>STDEV(ORCL)</f>
        <v>6.520957788229953E-2</v>
      </c>
      <c r="G5">
        <f>STDEV(LUV)</f>
        <v>8.4741003476595259E-2</v>
      </c>
      <c r="H5">
        <f>STDEV(MSFT)</f>
        <v>6.3773675441077926E-2</v>
      </c>
      <c r="I5">
        <f>STDEV(GE)</f>
        <v>7.9796675762252592E-2</v>
      </c>
      <c r="J5">
        <f>STDEV(COST)</f>
        <v>4.7265898058473733E-2</v>
      </c>
      <c r="K5">
        <f>STDEV(XOM)</f>
        <v>4.5937399442601425E-2</v>
      </c>
    </row>
    <row r="7" spans="1:11" x14ac:dyDescent="0.2">
      <c r="A7" s="5" t="s">
        <v>22</v>
      </c>
      <c r="B7" t="s">
        <v>1</v>
      </c>
      <c r="C7" t="s">
        <v>5</v>
      </c>
      <c r="D7" t="s">
        <v>12</v>
      </c>
      <c r="E7" t="s">
        <v>6</v>
      </c>
      <c r="F7" t="s">
        <v>7</v>
      </c>
      <c r="G7" t="s">
        <v>8</v>
      </c>
      <c r="H7" t="s">
        <v>9</v>
      </c>
      <c r="I7" t="s">
        <v>11</v>
      </c>
      <c r="J7" t="s">
        <v>10</v>
      </c>
      <c r="K7" t="s">
        <v>13</v>
      </c>
    </row>
    <row r="8" spans="1:11" x14ac:dyDescent="0.2">
      <c r="A8" t="s">
        <v>1</v>
      </c>
      <c r="B8">
        <f>CORREL(AXP,AXP)</f>
        <v>1</v>
      </c>
      <c r="C8">
        <f>CORREL(AAPL,AXP)</f>
        <v>0.37754810647589959</v>
      </c>
      <c r="D8">
        <f>CORREL(F,AXP)</f>
        <v>0.79860859624890979</v>
      </c>
      <c r="E8">
        <f>CORREL(IBM,AXP)</f>
        <v>0.35580546120854817</v>
      </c>
      <c r="F8">
        <f>CORREL(ORCL,AXP)</f>
        <v>0.33445757410111948</v>
      </c>
      <c r="G8">
        <f>CORREL(LUV,AXP)</f>
        <v>0.30892460211226275</v>
      </c>
      <c r="H8">
        <f>CORREL(MSFT,AXP)</f>
        <v>0.32397595213371316</v>
      </c>
      <c r="I8">
        <f>CORREL(GE,AXP)</f>
        <v>0.55259805358464464</v>
      </c>
      <c r="J8">
        <f>CORREL(COST,AXP)</f>
        <v>0.24732408567322273</v>
      </c>
      <c r="K8">
        <f>CORREL(XOM,AXP)</f>
        <v>0.21649360370307097</v>
      </c>
    </row>
    <row r="9" spans="1:11" x14ac:dyDescent="0.2">
      <c r="A9" t="s">
        <v>5</v>
      </c>
      <c r="B9">
        <f>CORREL(AXP,AAPL)</f>
        <v>0.37754810647589959</v>
      </c>
      <c r="C9">
        <f>CORREL(AAPL,AAPL)</f>
        <v>0.99999999999999978</v>
      </c>
      <c r="D9">
        <f>CORREL(F,AAPL)</f>
        <v>0.35925441137502911</v>
      </c>
      <c r="E9">
        <f>CORREL(IBM,AAPL)</f>
        <v>0.41199319963931375</v>
      </c>
      <c r="F9">
        <f>CORREL(ORCL,AAPL)</f>
        <v>0.39308809330893707</v>
      </c>
      <c r="G9">
        <f>CORREL(LUV,AAPL)</f>
        <v>0.20521581620564794</v>
      </c>
      <c r="H9">
        <f>CORREL(MSFT,AAPL)</f>
        <v>0.42300426465855417</v>
      </c>
      <c r="I9">
        <f>CORREL(GE,AAPL)</f>
        <v>0.37985552449265936</v>
      </c>
      <c r="J9">
        <f>CORREL(COST,AAPL)</f>
        <v>0.34305872492551714</v>
      </c>
      <c r="K9">
        <f>CORREL(XOM,AAPL)</f>
        <v>0.14793279607378459</v>
      </c>
    </row>
    <row r="10" spans="1:11" x14ac:dyDescent="0.2">
      <c r="A10" t="s">
        <v>12</v>
      </c>
      <c r="B10">
        <f>CORREL(AXP,F)</f>
        <v>0.79860859624890979</v>
      </c>
      <c r="C10">
        <f>CORREL(AAPL,F)</f>
        <v>0.35925441137502911</v>
      </c>
      <c r="D10">
        <f>CORREL(F,F)</f>
        <v>1.0000000000000002</v>
      </c>
      <c r="E10">
        <f>CORREL(IBM,F)</f>
        <v>0.30784822918224203</v>
      </c>
      <c r="F10">
        <f>CORREL(ORCL,F)</f>
        <v>0.33036202204359927</v>
      </c>
      <c r="G10">
        <f>CORREL(LUV,F)</f>
        <v>0.33816831890212384</v>
      </c>
      <c r="H10">
        <f>CORREL(MSFT,F)</f>
        <v>0.29732860292463903</v>
      </c>
      <c r="I10">
        <f>CORREL(GE,F)</f>
        <v>0.47094723365540214</v>
      </c>
      <c r="J10">
        <f>CORREL(COST,F)</f>
        <v>0.21606586574693379</v>
      </c>
      <c r="K10">
        <f>CORREL(XOM,F)</f>
        <v>9.0359077533790813E-2</v>
      </c>
    </row>
    <row r="11" spans="1:11" x14ac:dyDescent="0.2">
      <c r="A11" t="s">
        <v>6</v>
      </c>
      <c r="B11">
        <f>CORREL(AXP,IBM)</f>
        <v>0.35580546120854817</v>
      </c>
      <c r="C11">
        <f>CORREL(AAPL,IBM)</f>
        <v>0.41199319963931375</v>
      </c>
      <c r="D11">
        <f>CORREL(F,IBM)</f>
        <v>0.30784822918224203</v>
      </c>
      <c r="E11">
        <f>CORREL(IBM,IBM)</f>
        <v>1</v>
      </c>
      <c r="F11">
        <f>CORREL(ORCL,IBM)</f>
        <v>0.48069174151393929</v>
      </c>
      <c r="G11">
        <f>CORREL(LUV,IBM)</f>
        <v>0.18848819381190418</v>
      </c>
      <c r="H11">
        <f>CORREL(MSFT,IBM)</f>
        <v>0.33297894226843761</v>
      </c>
      <c r="I11">
        <f>CORREL(GE,IBM)</f>
        <v>0.37962035038351372</v>
      </c>
      <c r="J11">
        <f>CORREL(COST,IBM)</f>
        <v>0.28561647948678182</v>
      </c>
      <c r="K11">
        <f>CORREL(XOM,IBM)</f>
        <v>0.37249313489136365</v>
      </c>
    </row>
    <row r="12" spans="1:11" x14ac:dyDescent="0.2">
      <c r="A12" t="s">
        <v>7</v>
      </c>
      <c r="B12">
        <f>CORREL(AXP,ORCL)</f>
        <v>0.33445757410111948</v>
      </c>
      <c r="C12">
        <f>CORREL(AAPL,ORCL)</f>
        <v>0.39308809330893707</v>
      </c>
      <c r="D12">
        <f>CORREL(F,ORCL)</f>
        <v>0.33036202204359927</v>
      </c>
      <c r="E12">
        <f>CORREL(IBM,ORCL)</f>
        <v>0.48069174151393929</v>
      </c>
      <c r="F12">
        <f>CORREL(ORCL,ORCL)</f>
        <v>1.0000000000000002</v>
      </c>
      <c r="G12">
        <f>CORREL(LUV,ORCL)</f>
        <v>0.3421847609860047</v>
      </c>
      <c r="H12">
        <f>CORREL(MSFT,ORCL)</f>
        <v>0.50715327547639588</v>
      </c>
      <c r="I12">
        <f>CORREL(GE,ORCL)</f>
        <v>0.39864076665293491</v>
      </c>
      <c r="J12">
        <f>CORREL(COST,ORCL)</f>
        <v>0.307547973989102</v>
      </c>
      <c r="K12">
        <f>CORREL(XOM,ORCL)</f>
        <v>0.41198608258861963</v>
      </c>
    </row>
    <row r="13" spans="1:11" x14ac:dyDescent="0.2">
      <c r="A13" t="s">
        <v>8</v>
      </c>
      <c r="B13">
        <f>CORREL(AXP,LUV)</f>
        <v>0.30892460211226275</v>
      </c>
      <c r="C13">
        <f>CORREL(AAPL,LUV)</f>
        <v>0.20521581620564794</v>
      </c>
      <c r="D13">
        <f>CORREL(F,LUV)</f>
        <v>0.33816831890212384</v>
      </c>
      <c r="E13">
        <f>CORREL(IBM,LUV)</f>
        <v>0.18848819381190418</v>
      </c>
      <c r="F13">
        <f>CORREL(ORCL,LUV)</f>
        <v>0.3421847609860047</v>
      </c>
      <c r="G13">
        <f>CORREL(LUV,LUV)</f>
        <v>1.0000000000000002</v>
      </c>
      <c r="H13">
        <f>CORREL(MSFT,LUV)</f>
        <v>0.16127639060875318</v>
      </c>
      <c r="I13">
        <f>CORREL(GE,LUV)</f>
        <v>0.40225619568582938</v>
      </c>
      <c r="J13">
        <f>CORREL(COST,LUV)</f>
        <v>0.39318552708462656</v>
      </c>
      <c r="K13">
        <f>CORREL(XOM,LUV)</f>
        <v>0.10828417421313352</v>
      </c>
    </row>
    <row r="14" spans="1:11" x14ac:dyDescent="0.2">
      <c r="A14" t="s">
        <v>9</v>
      </c>
      <c r="B14">
        <f>CORREL(AXP,MSFT)</f>
        <v>0.32397595213371316</v>
      </c>
      <c r="C14">
        <f>CORREL(AAPL,MSFT)</f>
        <v>0.42300426465855417</v>
      </c>
      <c r="D14">
        <f>CORREL(F,MSFT)</f>
        <v>0.29732860292463903</v>
      </c>
      <c r="E14">
        <f>CORREL(IBM,MSFT)</f>
        <v>0.33297894226843761</v>
      </c>
      <c r="F14">
        <f>CORREL(ORCL,MSFT)</f>
        <v>0.50715327547639588</v>
      </c>
      <c r="G14">
        <f>CORREL(LUV,MSFT)</f>
        <v>0.16127639060875318</v>
      </c>
      <c r="H14">
        <f>CORREL(MSFT,MSFT)</f>
        <v>0.99999999999999978</v>
      </c>
      <c r="I14">
        <f>CORREL(GE,MSFT)</f>
        <v>0.34215165490480592</v>
      </c>
      <c r="J14">
        <f>CORREL(COST,MSFT)</f>
        <v>0.20598634402462068</v>
      </c>
      <c r="K14">
        <f>CORREL(XOM,MSFT)</f>
        <v>0.29297139794590843</v>
      </c>
    </row>
    <row r="15" spans="1:11" x14ac:dyDescent="0.2">
      <c r="A15" t="s">
        <v>11</v>
      </c>
      <c r="B15">
        <f>CORREL(AXP,GE)</f>
        <v>0.55259805358464464</v>
      </c>
      <c r="C15">
        <f>CORREL(AAPL,GE)</f>
        <v>0.37985552449265936</v>
      </c>
      <c r="D15">
        <f>CORREL(F,GE)</f>
        <v>0.47094723365540214</v>
      </c>
      <c r="E15">
        <f>CORREL(IBM,GE)</f>
        <v>0.37962035038351372</v>
      </c>
      <c r="F15">
        <f>CORREL(ORCL,GE)</f>
        <v>0.39864076665293491</v>
      </c>
      <c r="G15">
        <f>CORREL(LUV,GE)</f>
        <v>0.40225619568582938</v>
      </c>
      <c r="H15">
        <f>CORREL(MSFT,GE)</f>
        <v>0.34215165490480592</v>
      </c>
      <c r="I15">
        <f>CORREL(GE,GE)</f>
        <v>1.0000000000000002</v>
      </c>
      <c r="J15">
        <f>CORREL(COST,GE)</f>
        <v>0.41519349269531558</v>
      </c>
      <c r="K15">
        <f>CORREL(XOM,GE)</f>
        <v>0.51519489302059296</v>
      </c>
    </row>
    <row r="16" spans="1:11" x14ac:dyDescent="0.2">
      <c r="A16" t="s">
        <v>10</v>
      </c>
      <c r="B16">
        <f>CORREL(AXP,COST)</f>
        <v>0.24732408567322273</v>
      </c>
      <c r="C16">
        <f>CORREL(AAPL,COST)</f>
        <v>0.34305872492551714</v>
      </c>
      <c r="D16">
        <f>CORREL(F,COST)</f>
        <v>0.21606586574693379</v>
      </c>
      <c r="E16">
        <f>CORREL(IBM,COST)</f>
        <v>0.28561647948678182</v>
      </c>
      <c r="F16">
        <f>CORREL(ORCL,COST)</f>
        <v>0.307547973989102</v>
      </c>
      <c r="G16">
        <f>CORREL(LUV,COST)</f>
        <v>0.39318552708462656</v>
      </c>
      <c r="H16">
        <f>CORREL(MSFT,COST)</f>
        <v>0.20598634402462068</v>
      </c>
      <c r="I16">
        <f>CORREL(GE,COST)</f>
        <v>0.41519349269531558</v>
      </c>
      <c r="J16">
        <f>CORREL(COST,COST)</f>
        <v>1</v>
      </c>
      <c r="K16">
        <f>CORREL(XOM,COST)</f>
        <v>0.28714844937481537</v>
      </c>
    </row>
    <row r="17" spans="1:11" x14ac:dyDescent="0.2">
      <c r="A17" t="s">
        <v>13</v>
      </c>
      <c r="B17">
        <f>CORREL(AXP,XOM)</f>
        <v>0.21649360370307097</v>
      </c>
      <c r="C17">
        <f>CORREL(AAPL,XOM)</f>
        <v>0.14793279607378459</v>
      </c>
      <c r="D17">
        <f>CORREL(F,XOM)</f>
        <v>9.0359077533790813E-2</v>
      </c>
      <c r="E17">
        <f>CORREL(IBM,XOM)</f>
        <v>0.37249313489136365</v>
      </c>
      <c r="F17">
        <f>CORREL(ORCL,XOM)</f>
        <v>0.41198608258861963</v>
      </c>
      <c r="G17">
        <f>CORREL(LUV,XOM)</f>
        <v>0.10828417421313352</v>
      </c>
      <c r="H17">
        <f>CORREL(MSFT,XOM)</f>
        <v>0.29297139794590843</v>
      </c>
      <c r="I17">
        <f>CORREL(GE,XOM)</f>
        <v>0.51519489302059296</v>
      </c>
      <c r="J17">
        <f>CORREL(COST,XOM)</f>
        <v>0.28714844937481537</v>
      </c>
      <c r="K17">
        <f>CORREL(XOM,XOM)</f>
        <v>1.0000000000000002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3C70A-8B90-4D02-9648-41BB467464AA}">
  <sheetPr codeName="Sheet4"/>
  <dimension ref="A1:K26"/>
  <sheetViews>
    <sheetView zoomScale="145" zoomScaleNormal="145" workbookViewId="0">
      <selection activeCell="G13" sqref="G13"/>
    </sheetView>
  </sheetViews>
  <sheetFormatPr defaultRowHeight="12.75" x14ac:dyDescent="0.2"/>
  <cols>
    <col min="1" max="1" width="12.7109375" customWidth="1"/>
  </cols>
  <sheetData>
    <row r="1" spans="1:11" x14ac:dyDescent="0.2">
      <c r="A1" s="5" t="s">
        <v>23</v>
      </c>
    </row>
    <row r="3" spans="1:11" x14ac:dyDescent="0.2">
      <c r="A3" s="5" t="s">
        <v>19</v>
      </c>
      <c r="B3" t="s">
        <v>1</v>
      </c>
      <c r="C3" t="s">
        <v>5</v>
      </c>
      <c r="D3" t="s">
        <v>12</v>
      </c>
      <c r="E3" t="s">
        <v>6</v>
      </c>
      <c r="F3" t="s">
        <v>7</v>
      </c>
      <c r="G3" t="s">
        <v>8</v>
      </c>
      <c r="H3" t="s">
        <v>9</v>
      </c>
      <c r="I3" t="s">
        <v>11</v>
      </c>
      <c r="J3" t="s">
        <v>10</v>
      </c>
      <c r="K3" t="s">
        <v>13</v>
      </c>
    </row>
    <row r="4" spans="1:11" x14ac:dyDescent="0.2">
      <c r="A4" s="5" t="s">
        <v>24</v>
      </c>
      <c r="B4">
        <v>0</v>
      </c>
      <c r="C4">
        <v>0.10362582045759308</v>
      </c>
      <c r="D4">
        <v>0</v>
      </c>
      <c r="E4">
        <v>0.14679467074477567</v>
      </c>
      <c r="F4">
        <v>0</v>
      </c>
      <c r="G4">
        <v>7.1928185682766307E-2</v>
      </c>
      <c r="H4">
        <v>0.15400551801154652</v>
      </c>
      <c r="I4">
        <v>0</v>
      </c>
      <c r="J4">
        <v>0.35027406793839394</v>
      </c>
      <c r="K4">
        <v>0.17337173716492477</v>
      </c>
    </row>
    <row r="5" spans="1:11" x14ac:dyDescent="0.2">
      <c r="A5" s="5" t="s">
        <v>20</v>
      </c>
      <c r="B5">
        <f>AVERAGE(AXP)</f>
        <v>2.1840104775117303E-2</v>
      </c>
      <c r="C5">
        <f>AVERAGE(AAPL)</f>
        <v>2.7206284633990656E-2</v>
      </c>
      <c r="D5">
        <f>AVERAGE(F)</f>
        <v>2.6054487681985379E-2</v>
      </c>
      <c r="E5">
        <f>AVERAGE(IBM)</f>
        <v>7.9426202374320541E-3</v>
      </c>
      <c r="F5">
        <f>AVERAGE(ORCL)</f>
        <v>1.2173150316949318E-2</v>
      </c>
      <c r="G5">
        <f>AVERAGE(LUV)</f>
        <v>2.3195129182859479E-2</v>
      </c>
      <c r="H5">
        <f>AVERAGE(MSFT)</f>
        <v>1.9497084587702763E-2</v>
      </c>
      <c r="I5">
        <f>AVERAGE(GE)</f>
        <v>7.0263881090105495E-3</v>
      </c>
      <c r="J5">
        <f>AVERAGE(COST)</f>
        <v>1.6489568590550025E-2</v>
      </c>
      <c r="K5">
        <f>AVERAGE(XOM)</f>
        <v>3.275514131815818E-3</v>
      </c>
    </row>
    <row r="7" spans="1:11" x14ac:dyDescent="0.2">
      <c r="A7" s="5" t="s">
        <v>25</v>
      </c>
      <c r="C7">
        <f>MIN(means)</f>
        <v>3.275514131815818E-3</v>
      </c>
      <c r="E7" s="5" t="s">
        <v>26</v>
      </c>
      <c r="G7">
        <f>SUM(weights)</f>
        <v>1.0000000000000004</v>
      </c>
    </row>
    <row r="8" spans="1:11" x14ac:dyDescent="0.2">
      <c r="A8" s="5" t="s">
        <v>27</v>
      </c>
      <c r="C8">
        <f>MAX(means)</f>
        <v>2.7206284633990656E-2</v>
      </c>
    </row>
    <row r="10" spans="1:11" x14ac:dyDescent="0.2">
      <c r="A10" s="5" t="s">
        <v>28</v>
      </c>
      <c r="D10">
        <f>SUMPRODUCT(weights, means)</f>
        <v>1.4999999903751586E-2</v>
      </c>
      <c r="E10" s="6" t="s">
        <v>29</v>
      </c>
      <c r="F10">
        <v>1.4999999999999999E-2</v>
      </c>
    </row>
    <row r="12" spans="1:11" x14ac:dyDescent="0.2">
      <c r="A12" s="5" t="s">
        <v>30</v>
      </c>
      <c r="D12">
        <f t="array" ref="D12">MMULT(weights,MMULT(covariances,TRANSPOSE(weights)))</f>
        <v>1.2591247668463658E-3</v>
      </c>
    </row>
    <row r="14" spans="1:11" x14ac:dyDescent="0.2">
      <c r="A14" s="5" t="s">
        <v>31</v>
      </c>
      <c r="D14">
        <f>SQRT(portfolioVariance)</f>
        <v>3.5484148106532949E-2</v>
      </c>
    </row>
    <row r="16" spans="1:11" x14ac:dyDescent="0.2">
      <c r="A16" s="5" t="s">
        <v>32</v>
      </c>
      <c r="B16" t="s">
        <v>1</v>
      </c>
      <c r="C16" t="s">
        <v>5</v>
      </c>
      <c r="D16" t="s">
        <v>12</v>
      </c>
      <c r="E16" t="s">
        <v>6</v>
      </c>
      <c r="F16" t="s">
        <v>7</v>
      </c>
      <c r="G16" t="s">
        <v>8</v>
      </c>
      <c r="H16" t="s">
        <v>9</v>
      </c>
      <c r="I16" t="s">
        <v>11</v>
      </c>
      <c r="J16" t="s">
        <v>10</v>
      </c>
      <c r="K16" t="s">
        <v>13</v>
      </c>
    </row>
    <row r="17" spans="1:11" x14ac:dyDescent="0.2">
      <c r="A17" t="s">
        <v>1</v>
      </c>
      <c r="B17">
        <f>COVAR(AXP,AXP)</f>
        <v>1.1647405815490572E-2</v>
      </c>
      <c r="C17">
        <f>COVAR(AAPL,AXP)</f>
        <v>2.9348758560477041E-3</v>
      </c>
      <c r="D17">
        <f>COVAR(F,AXP)</f>
        <v>1.278922920671813E-2</v>
      </c>
      <c r="E17">
        <f>COVAR(IBM,AXP)</f>
        <v>1.8217703897818521E-3</v>
      </c>
      <c r="F17">
        <f>COVAR(ORCL,AXP)</f>
        <v>2.343062829233725E-3</v>
      </c>
      <c r="G17">
        <f>COVAR(LUV,AXP)</f>
        <v>2.8124033624812943E-3</v>
      </c>
      <c r="H17">
        <f>COVAR(MSFT,AXP)</f>
        <v>2.2196563014955954E-3</v>
      </c>
      <c r="I17">
        <f>COVAR(GE,AXP)</f>
        <v>4.7372429749701888E-3</v>
      </c>
      <c r="J17">
        <f>COVAR(COST,AXP)</f>
        <v>1.2558733255354641E-3</v>
      </c>
      <c r="K17">
        <f>COVAR(XOM,AXP)</f>
        <v>1.0684224020013973E-3</v>
      </c>
    </row>
    <row r="18" spans="1:11" x14ac:dyDescent="0.2">
      <c r="A18" t="s">
        <v>5</v>
      </c>
      <c r="B18">
        <f>COVAR(AXP,AAPL)</f>
        <v>2.9348758560477041E-3</v>
      </c>
      <c r="C18">
        <f>COVAR(AAPL,AAPL)</f>
        <v>5.1880681314564218E-3</v>
      </c>
      <c r="D18">
        <f>COVAR(F,AAPL)</f>
        <v>3.8397303940604696E-3</v>
      </c>
      <c r="E18">
        <f>COVAR(IBM,AAPL)</f>
        <v>1.4078594768972932E-3</v>
      </c>
      <c r="F18">
        <f>COVAR(ORCL,AAPL)</f>
        <v>1.8378963694635072E-3</v>
      </c>
      <c r="G18">
        <f>COVAR(LUV,AAPL)</f>
        <v>1.2468786064624752E-3</v>
      </c>
      <c r="H18">
        <f>COVAR(MSFT,AAPL)</f>
        <v>1.9342202905909148E-3</v>
      </c>
      <c r="I18">
        <f>COVAR(GE,AAPL)</f>
        <v>2.173316555503106E-3</v>
      </c>
      <c r="J18">
        <f>COVAR(COST,AAPL)</f>
        <v>1.1626155432504553E-3</v>
      </c>
      <c r="K18">
        <f>COVAR(XOM,AAPL)</f>
        <v>4.8724861513997831E-4</v>
      </c>
    </row>
    <row r="19" spans="1:11" x14ac:dyDescent="0.2">
      <c r="A19" t="s">
        <v>12</v>
      </c>
      <c r="B19">
        <f>COVAR(AXP,F)</f>
        <v>1.278922920671813E-2</v>
      </c>
      <c r="C19">
        <f>COVAR(AAPL,F)</f>
        <v>3.8397303940604696E-3</v>
      </c>
      <c r="D19">
        <f>COVAR(F,F)</f>
        <v>2.2018694863328452E-2</v>
      </c>
      <c r="E19">
        <f>COVAR(IBM,F)</f>
        <v>2.1671994004409507E-3</v>
      </c>
      <c r="F19">
        <f>COVAR(ORCL,F)</f>
        <v>3.1821027394437081E-3</v>
      </c>
      <c r="G19">
        <f>COVAR(LUV,F)</f>
        <v>4.232911747627831E-3</v>
      </c>
      <c r="H19">
        <f>COVAR(MSFT,F)</f>
        <v>2.8008563176552407E-3</v>
      </c>
      <c r="I19">
        <f>COVAR(GE,F)</f>
        <v>5.5509810228761818E-3</v>
      </c>
      <c r="J19">
        <f>COVAR(COST,F)</f>
        <v>1.5085050520496695E-3</v>
      </c>
      <c r="K19">
        <f>COVAR(XOM,F)</f>
        <v>6.131276294811536E-4</v>
      </c>
    </row>
    <row r="20" spans="1:11" x14ac:dyDescent="0.2">
      <c r="A20" t="s">
        <v>6</v>
      </c>
      <c r="B20">
        <f>COVAR(AXP,IBM)</f>
        <v>1.8217703897818521E-3</v>
      </c>
      <c r="C20">
        <f>COVAR(AAPL,IBM)</f>
        <v>1.4078594768972932E-3</v>
      </c>
      <c r="D20">
        <f>COVAR(F,IBM)</f>
        <v>2.1671994004409507E-3</v>
      </c>
      <c r="E20">
        <f>COVAR(IBM,IBM)</f>
        <v>2.2507789829689707E-3</v>
      </c>
      <c r="F20">
        <f>COVAR(ORCL,IBM)</f>
        <v>1.4803396845471616E-3</v>
      </c>
      <c r="G20">
        <f>COVAR(LUV,IBM)</f>
        <v>7.5432949139038323E-4</v>
      </c>
      <c r="H20">
        <f>COVAR(MSFT,IBM)</f>
        <v>1.002862861515956E-3</v>
      </c>
      <c r="I20">
        <f>COVAR(GE,IBM)</f>
        <v>1.4305980120011661E-3</v>
      </c>
      <c r="J20">
        <f>COVAR(COST,IBM)</f>
        <v>6.3755037816392766E-4</v>
      </c>
      <c r="K20">
        <f>COVAR(XOM,IBM)</f>
        <v>8.0810540358661523E-4</v>
      </c>
    </row>
    <row r="21" spans="1:11" x14ac:dyDescent="0.2">
      <c r="A21" t="s">
        <v>7</v>
      </c>
      <c r="B21">
        <f>COVAR(AXP,ORCL)</f>
        <v>2.343062829233725E-3</v>
      </c>
      <c r="C21">
        <f>COVAR(AAPL,ORCL)</f>
        <v>1.8378963694635072E-3</v>
      </c>
      <c r="D21">
        <f>COVAR(F,ORCL)</f>
        <v>3.1821027394437081E-3</v>
      </c>
      <c r="E21">
        <f>COVAR(IBM,ORCL)</f>
        <v>1.4803396845471616E-3</v>
      </c>
      <c r="F21">
        <f>COVAR(ORCL,ORCL)</f>
        <v>4.2136318744277982E-3</v>
      </c>
      <c r="G21">
        <f>COVAR(LUV,ORCL)</f>
        <v>1.873697462965144E-3</v>
      </c>
      <c r="H21">
        <f>COVAR(MSFT,ORCL)</f>
        <v>2.0899018175192727E-3</v>
      </c>
      <c r="I21">
        <f>COVAR(GE,ORCL)</f>
        <v>2.0554726885713428E-3</v>
      </c>
      <c r="J21">
        <f>COVAR(COST,ORCL)</f>
        <v>9.3930359834987285E-4</v>
      </c>
      <c r="K21">
        <f>COVAR(XOM,ORCL)</f>
        <v>1.2229090324445519E-3</v>
      </c>
    </row>
    <row r="22" spans="1:11" x14ac:dyDescent="0.2">
      <c r="A22" t="s">
        <v>8</v>
      </c>
      <c r="B22">
        <f>COVAR(AXP,LUV)</f>
        <v>2.8124033624812943E-3</v>
      </c>
      <c r="C22">
        <f>COVAR(AAPL,LUV)</f>
        <v>1.2468786064624752E-3</v>
      </c>
      <c r="D22">
        <f>COVAR(F,LUV)</f>
        <v>4.232911747627831E-3</v>
      </c>
      <c r="E22">
        <f>COVAR(IBM,LUV)</f>
        <v>7.5432949139038323E-4</v>
      </c>
      <c r="F22">
        <f>COVAR(ORCL,LUV)</f>
        <v>1.873697462965144E-3</v>
      </c>
      <c r="G22">
        <f>COVAR(LUV,LUV)</f>
        <v>7.1157555095819596E-3</v>
      </c>
      <c r="H22">
        <f>COVAR(MSFT,LUV)</f>
        <v>8.6365373944794106E-4</v>
      </c>
      <c r="I22">
        <f>COVAR(GE,LUV)</f>
        <v>2.6953486905286705E-3</v>
      </c>
      <c r="J22">
        <f>COVAR(COST,LUV)</f>
        <v>1.5605326248801792E-3</v>
      </c>
      <c r="K22">
        <f>COVAR(XOM,LUV)</f>
        <v>4.1769455116187078E-4</v>
      </c>
    </row>
    <row r="23" spans="1:11" x14ac:dyDescent="0.2">
      <c r="A23" t="s">
        <v>9</v>
      </c>
      <c r="B23">
        <f>COVAR(AXP,MSFT)</f>
        <v>2.2196563014955954E-3</v>
      </c>
      <c r="C23">
        <f>COVAR(AAPL,MSFT)</f>
        <v>1.9342202905909148E-3</v>
      </c>
      <c r="D23">
        <f>COVAR(F,MSFT)</f>
        <v>2.8008563176552407E-3</v>
      </c>
      <c r="E23">
        <f>COVAR(IBM,MSFT)</f>
        <v>1.002862861515956E-3</v>
      </c>
      <c r="F23">
        <f>COVAR(ORCL,MSFT)</f>
        <v>2.0899018175192727E-3</v>
      </c>
      <c r="G23">
        <f>COVAR(LUV,MSFT)</f>
        <v>8.6365373944794106E-4</v>
      </c>
      <c r="H23">
        <f>COVAR(MSFT,MSFT)</f>
        <v>4.0301082094524538E-3</v>
      </c>
      <c r="I23">
        <f>COVAR(GE,MSFT)</f>
        <v>1.7253559442265694E-3</v>
      </c>
      <c r="J23">
        <f>COVAR(COST,MSFT)</f>
        <v>6.1526414007710489E-4</v>
      </c>
      <c r="K23">
        <f>COVAR(XOM,MSFT)</f>
        <v>8.5048545186856925E-4</v>
      </c>
    </row>
    <row r="24" spans="1:11" x14ac:dyDescent="0.2">
      <c r="A24" t="s">
        <v>11</v>
      </c>
      <c r="B24">
        <f>COVAR(AXP,GE)</f>
        <v>4.7372429749701888E-3</v>
      </c>
      <c r="C24">
        <f>COVAR(AAPL,GE)</f>
        <v>2.173316555503106E-3</v>
      </c>
      <c r="D24">
        <f>COVAR(F,GE)</f>
        <v>5.5509810228761818E-3</v>
      </c>
      <c r="E24">
        <f>COVAR(IBM,GE)</f>
        <v>1.4305980120011661E-3</v>
      </c>
      <c r="F24">
        <f>COVAR(ORCL,GE)</f>
        <v>2.0554726885713428E-3</v>
      </c>
      <c r="G24">
        <f>COVAR(LUV,GE)</f>
        <v>2.6953486905286705E-3</v>
      </c>
      <c r="H24">
        <f>COVAR(MSFT,GE)</f>
        <v>1.7253559442265694E-3</v>
      </c>
      <c r="I24">
        <f>COVAR(GE,GE)</f>
        <v>6.3096230130451061E-3</v>
      </c>
      <c r="J24">
        <f>COVAR(COST,GE)</f>
        <v>1.5517332440728097E-3</v>
      </c>
      <c r="K24">
        <f>COVAR(XOM,GE)</f>
        <v>1.8713566610823495E-3</v>
      </c>
    </row>
    <row r="25" spans="1:11" x14ac:dyDescent="0.2">
      <c r="A25" t="s">
        <v>10</v>
      </c>
      <c r="B25">
        <f>COVAR(AXP,COST)</f>
        <v>1.2558733255354641E-3</v>
      </c>
      <c r="C25">
        <f>COVAR(AAPL,COST)</f>
        <v>1.1626155432504553E-3</v>
      </c>
      <c r="D25">
        <f>COVAR(F,COST)</f>
        <v>1.5085050520496695E-3</v>
      </c>
      <c r="E25">
        <f>COVAR(IBM,COST)</f>
        <v>6.3755037816392766E-4</v>
      </c>
      <c r="F25">
        <f>COVAR(ORCL,COST)</f>
        <v>9.3930359834987285E-4</v>
      </c>
      <c r="G25">
        <f>COVAR(LUV,COST)</f>
        <v>1.5605326248801792E-3</v>
      </c>
      <c r="H25">
        <f>COVAR(MSFT,COST)</f>
        <v>6.1526414007710489E-4</v>
      </c>
      <c r="I25">
        <f>COVAR(GE,COST)</f>
        <v>1.5517332440728097E-3</v>
      </c>
      <c r="J25">
        <f>COVAR(COST,COST)</f>
        <v>2.2137554363715396E-3</v>
      </c>
      <c r="K25">
        <f>COVAR(XOM,COST)</f>
        <v>6.1780953666453592E-4</v>
      </c>
    </row>
    <row r="26" spans="1:11" x14ac:dyDescent="0.2">
      <c r="A26" t="s">
        <v>13</v>
      </c>
      <c r="B26">
        <f>COVAR(AXP,XOM)</f>
        <v>1.0684224020013973E-3</v>
      </c>
      <c r="C26">
        <f>COVAR(AAPL,XOM)</f>
        <v>4.8724861513997831E-4</v>
      </c>
      <c r="D26">
        <f>COVAR(F,XOM)</f>
        <v>6.131276294811536E-4</v>
      </c>
      <c r="E26">
        <f>COVAR(IBM,XOM)</f>
        <v>8.0810540358661523E-4</v>
      </c>
      <c r="F26">
        <f>COVAR(ORCL,XOM)</f>
        <v>1.2229090324445519E-3</v>
      </c>
      <c r="G26">
        <f>COVAR(LUV,XOM)</f>
        <v>4.1769455116187078E-4</v>
      </c>
      <c r="H26">
        <f>COVAR(MSFT,XOM)</f>
        <v>8.5048545186856925E-4</v>
      </c>
      <c r="I26">
        <f>COVAR(GE,XOM)</f>
        <v>1.8713566610823495E-3</v>
      </c>
      <c r="J26">
        <f>COVAR(COST,XOM)</f>
        <v>6.1780953666453592E-4</v>
      </c>
      <c r="K26">
        <f>COVAR(XOM,XOM)</f>
        <v>2.0910606251168533E-3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3" name="Button 1">
              <controlPr defaultSize="0" print="0" autoFill="0" autoPict="0" macro="[0]!runSolver">
                <anchor moveWithCells="1" sizeWithCells="1">
                  <from>
                    <xdr:col>7</xdr:col>
                    <xdr:colOff>333375</xdr:colOff>
                    <xdr:row>6</xdr:row>
                    <xdr:rowOff>123825</xdr:rowOff>
                  </from>
                  <to>
                    <xdr:col>8</xdr:col>
                    <xdr:colOff>333375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B659F-E98D-4CF6-9074-F389BF3FB80F}">
  <sheetPr codeName="Sheet3"/>
  <dimension ref="A1:N14"/>
  <sheetViews>
    <sheetView tabSelected="1" workbookViewId="0">
      <selection activeCell="P8" sqref="P8"/>
    </sheetView>
  </sheetViews>
  <sheetFormatPr defaultRowHeight="12.75" x14ac:dyDescent="0.2"/>
  <sheetData>
    <row r="1" spans="1:14" x14ac:dyDescent="0.2">
      <c r="A1" s="5" t="s">
        <v>14</v>
      </c>
    </row>
    <row r="2" spans="1:14" x14ac:dyDescent="0.2">
      <c r="E2" t="s">
        <v>15</v>
      </c>
    </row>
    <row r="3" spans="1:14" x14ac:dyDescent="0.2">
      <c r="B3" t="s">
        <v>16</v>
      </c>
      <c r="C3" t="s">
        <v>17</v>
      </c>
      <c r="E3" t="s">
        <v>1</v>
      </c>
      <c r="F3" t="s">
        <v>5</v>
      </c>
      <c r="G3" t="s">
        <v>12</v>
      </c>
      <c r="H3" t="s">
        <v>6</v>
      </c>
      <c r="I3" t="s">
        <v>7</v>
      </c>
      <c r="J3" t="s">
        <v>8</v>
      </c>
      <c r="K3" t="s">
        <v>9</v>
      </c>
      <c r="L3" t="s">
        <v>11</v>
      </c>
      <c r="M3" t="s">
        <v>10</v>
      </c>
      <c r="N3" t="s">
        <v>13</v>
      </c>
    </row>
    <row r="4" spans="1:14" x14ac:dyDescent="0.2">
      <c r="B4">
        <v>1.1373860971950888E-3</v>
      </c>
      <c r="C4">
        <v>3.2755141146481037E-3</v>
      </c>
      <c r="E4">
        <v>0</v>
      </c>
      <c r="F4">
        <v>1.1763486423134279E-2</v>
      </c>
      <c r="G4">
        <v>0</v>
      </c>
      <c r="H4">
        <v>0.24684642178665125</v>
      </c>
      <c r="I4">
        <v>0</v>
      </c>
      <c r="J4">
        <v>3.6488720372791932E-2</v>
      </c>
      <c r="K4">
        <v>9.6218907194865796E-2</v>
      </c>
      <c r="L4">
        <v>0</v>
      </c>
      <c r="M4">
        <v>0.29709062276992054</v>
      </c>
      <c r="N4">
        <v>0.31159184145263646</v>
      </c>
    </row>
    <row r="5" spans="1:14" x14ac:dyDescent="0.2">
      <c r="B5">
        <v>1.1373860971950888E-3</v>
      </c>
      <c r="C5">
        <v>5.6685912422835827E-3</v>
      </c>
      <c r="E5">
        <v>0</v>
      </c>
      <c r="F5">
        <v>1.1763486423134279E-2</v>
      </c>
      <c r="G5">
        <v>0</v>
      </c>
      <c r="H5">
        <v>0.24684642178665125</v>
      </c>
      <c r="I5">
        <v>0</v>
      </c>
      <c r="J5">
        <v>3.6488720372791932E-2</v>
      </c>
      <c r="K5">
        <v>9.6218907194865796E-2</v>
      </c>
      <c r="L5">
        <v>0</v>
      </c>
      <c r="M5">
        <v>0.29709062276992054</v>
      </c>
      <c r="N5">
        <v>0.31159184145263646</v>
      </c>
    </row>
    <row r="6" spans="1:14" x14ac:dyDescent="0.2">
      <c r="B6">
        <v>1.1373860971950888E-3</v>
      </c>
      <c r="C6">
        <v>8.0616679042577744E-3</v>
      </c>
      <c r="E6">
        <v>0</v>
      </c>
      <c r="F6">
        <v>1.1763486423134279E-2</v>
      </c>
      <c r="G6">
        <v>0</v>
      </c>
      <c r="H6">
        <v>0.24684642178665125</v>
      </c>
      <c r="I6">
        <v>0</v>
      </c>
      <c r="J6">
        <v>3.6488720372791932E-2</v>
      </c>
      <c r="K6">
        <v>9.6218907194865796E-2</v>
      </c>
      <c r="L6">
        <v>0</v>
      </c>
      <c r="M6">
        <v>0.29709062276992054</v>
      </c>
      <c r="N6">
        <v>0.31159184145263646</v>
      </c>
    </row>
    <row r="7" spans="1:14" x14ac:dyDescent="0.2">
      <c r="B7">
        <v>1.1373860971950888E-3</v>
      </c>
      <c r="C7">
        <v>1.0454745031893253E-2</v>
      </c>
      <c r="E7">
        <v>0</v>
      </c>
      <c r="F7">
        <v>1.1763486423134279E-2</v>
      </c>
      <c r="G7">
        <v>0</v>
      </c>
      <c r="H7">
        <v>0.24684642178665125</v>
      </c>
      <c r="I7">
        <v>0</v>
      </c>
      <c r="J7">
        <v>3.6488720372791932E-2</v>
      </c>
      <c r="K7">
        <v>9.6218907194865796E-2</v>
      </c>
      <c r="L7">
        <v>0</v>
      </c>
      <c r="M7">
        <v>0.29709062276992054</v>
      </c>
      <c r="N7">
        <v>0.31159184145263646</v>
      </c>
    </row>
    <row r="8" spans="1:14" x14ac:dyDescent="0.2">
      <c r="B8">
        <v>1.1645281115468568E-3</v>
      </c>
      <c r="C8">
        <v>1.2847822159528732E-2</v>
      </c>
      <c r="E8">
        <v>0</v>
      </c>
      <c r="F8">
        <v>5.5139012267836914E-2</v>
      </c>
      <c r="G8">
        <v>0</v>
      </c>
      <c r="H8">
        <v>0.19960407009940556</v>
      </c>
      <c r="I8">
        <v>0</v>
      </c>
      <c r="J8">
        <v>5.3222228337509322E-2</v>
      </c>
      <c r="K8">
        <v>0.12350454924183769</v>
      </c>
      <c r="L8">
        <v>0</v>
      </c>
      <c r="M8">
        <v>0.32220326845019215</v>
      </c>
      <c r="N8">
        <v>0.24632687160321856</v>
      </c>
    </row>
    <row r="9" spans="1:14" x14ac:dyDescent="0.2">
      <c r="B9">
        <v>1.2739344563382231E-3</v>
      </c>
      <c r="C9">
        <v>1.5240899287164211E-2</v>
      </c>
      <c r="E9">
        <v>0</v>
      </c>
      <c r="F9">
        <v>0.10905316415480285</v>
      </c>
      <c r="G9">
        <v>0</v>
      </c>
      <c r="H9">
        <v>0.14088364189049374</v>
      </c>
      <c r="I9">
        <v>0</v>
      </c>
      <c r="J9">
        <v>7.4021981212136309E-2</v>
      </c>
      <c r="K9">
        <v>0.15741948908174988</v>
      </c>
      <c r="L9">
        <v>0</v>
      </c>
      <c r="M9">
        <v>0.35341607590155433</v>
      </c>
      <c r="N9">
        <v>0.16520564775926316</v>
      </c>
    </row>
    <row r="10" spans="1:14" x14ac:dyDescent="0.2">
      <c r="B10">
        <v>1.467207359586397E-3</v>
      </c>
      <c r="C10">
        <v>1.763397641479969E-2</v>
      </c>
      <c r="E10">
        <v>0</v>
      </c>
      <c r="F10">
        <v>0.16296724616919595</v>
      </c>
      <c r="G10">
        <v>0</v>
      </c>
      <c r="H10">
        <v>8.2163182737488141E-2</v>
      </c>
      <c r="I10">
        <v>0</v>
      </c>
      <c r="J10">
        <v>9.4821149506462005E-2</v>
      </c>
      <c r="K10">
        <v>0.19133460840836417</v>
      </c>
      <c r="L10">
        <v>0</v>
      </c>
      <c r="M10">
        <v>0.38462968228111055</v>
      </c>
      <c r="N10">
        <v>8.4084130897379414E-2</v>
      </c>
    </row>
    <row r="11" spans="1:14" x14ac:dyDescent="0.2">
      <c r="B11">
        <v>1.7443469453226859E-3</v>
      </c>
      <c r="C11">
        <v>2.0027054473757744E-2</v>
      </c>
      <c r="E11">
        <v>0</v>
      </c>
      <c r="F11">
        <v>0.21688141740078948</v>
      </c>
      <c r="G11">
        <v>0</v>
      </c>
      <c r="H11">
        <v>2.3442523475123628E-2</v>
      </c>
      <c r="I11">
        <v>0</v>
      </c>
      <c r="J11">
        <v>0.11562080574508814</v>
      </c>
      <c r="K11">
        <v>0.2252497651129147</v>
      </c>
      <c r="L11">
        <v>0</v>
      </c>
      <c r="M11">
        <v>0.41584248684438757</v>
      </c>
      <c r="N11">
        <v>2.9630014216966197E-3</v>
      </c>
    </row>
    <row r="12" spans="1:14" x14ac:dyDescent="0.2">
      <c r="B12">
        <v>2.2142452782068253E-3</v>
      </c>
      <c r="C12">
        <v>2.2420130670070648E-2</v>
      </c>
      <c r="E12">
        <v>0</v>
      </c>
      <c r="F12">
        <v>0.38697271400036054</v>
      </c>
      <c r="G12">
        <v>0</v>
      </c>
      <c r="H12">
        <v>0</v>
      </c>
      <c r="I12">
        <v>0</v>
      </c>
      <c r="J12">
        <v>0.18231678627849007</v>
      </c>
      <c r="K12">
        <v>0.18651577776924888</v>
      </c>
      <c r="L12">
        <v>0</v>
      </c>
      <c r="M12">
        <v>0.2441947219519007</v>
      </c>
      <c r="N12">
        <v>0</v>
      </c>
    </row>
    <row r="13" spans="1:14" x14ac:dyDescent="0.2">
      <c r="B13">
        <v>3.0802588839009956E-3</v>
      </c>
      <c r="C13">
        <v>2.4813208729028702E-2</v>
      </c>
      <c r="E13">
        <v>0</v>
      </c>
      <c r="F13">
        <v>0.57799209340665814</v>
      </c>
      <c r="G13">
        <v>0</v>
      </c>
      <c r="H13">
        <v>0</v>
      </c>
      <c r="I13">
        <v>0</v>
      </c>
      <c r="J13">
        <v>0.25796025497458158</v>
      </c>
      <c r="K13">
        <v>0.13289868544757241</v>
      </c>
      <c r="L13">
        <v>0</v>
      </c>
      <c r="M13">
        <v>3.1148966171187967E-2</v>
      </c>
      <c r="N13">
        <v>0</v>
      </c>
    </row>
    <row r="14" spans="1:14" x14ac:dyDescent="0.2">
      <c r="B14">
        <v>5.1880681314564218E-3</v>
      </c>
      <c r="C14">
        <v>2.7206284925341606E-2</v>
      </c>
      <c r="E14">
        <v>0</v>
      </c>
      <c r="F14">
        <v>1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F519AB-451A-4F14-837E-5C7412562825}">
  <sheetPr codeName="Sheet2"/>
  <dimension ref="A1:I112"/>
  <sheetViews>
    <sheetView workbookViewId="0"/>
  </sheetViews>
  <sheetFormatPr defaultRowHeight="12.75" x14ac:dyDescent="0.2"/>
  <sheetData>
    <row r="1" spans="1:9" x14ac:dyDescent="0.2">
      <c r="I1" t="s">
        <v>33</v>
      </c>
    </row>
    <row r="2" spans="1:9" x14ac:dyDescent="0.2">
      <c r="A2" s="3">
        <v>43188</v>
      </c>
      <c r="B2">
        <v>73.33</v>
      </c>
      <c r="C2">
        <v>74.89</v>
      </c>
      <c r="D2">
        <v>73.260000000000005</v>
      </c>
      <c r="E2">
        <v>74.61</v>
      </c>
      <c r="F2" s="7">
        <v>14882885</v>
      </c>
      <c r="I2">
        <f t="shared" ref="I2:I33" si="0">(E2-E3)/E3</f>
        <v>-1.4919461315025027E-2</v>
      </c>
    </row>
    <row r="3" spans="1:9" x14ac:dyDescent="0.2">
      <c r="A3" s="3">
        <v>43159</v>
      </c>
      <c r="B3">
        <v>78.16</v>
      </c>
      <c r="C3">
        <v>78.25</v>
      </c>
      <c r="D3">
        <v>75.7</v>
      </c>
      <c r="E3">
        <v>75.739999999999995</v>
      </c>
      <c r="F3" s="7">
        <v>17087816</v>
      </c>
      <c r="I3">
        <f t="shared" si="0"/>
        <v>-0.12358250404998851</v>
      </c>
    </row>
    <row r="4" spans="1:9" x14ac:dyDescent="0.2">
      <c r="A4" s="3">
        <v>43131</v>
      </c>
      <c r="B4">
        <v>85.68</v>
      </c>
      <c r="C4">
        <v>86.58</v>
      </c>
      <c r="D4">
        <v>85.46</v>
      </c>
      <c r="E4">
        <v>86.42</v>
      </c>
      <c r="F4" s="7">
        <v>14404736</v>
      </c>
      <c r="I4">
        <f t="shared" si="0"/>
        <v>4.3845875105689033E-2</v>
      </c>
    </row>
    <row r="5" spans="1:9" x14ac:dyDescent="0.2">
      <c r="A5" s="3">
        <v>43098</v>
      </c>
      <c r="B5">
        <v>83.15</v>
      </c>
      <c r="C5">
        <v>83.35</v>
      </c>
      <c r="D5">
        <v>82.79</v>
      </c>
      <c r="E5">
        <v>82.79</v>
      </c>
      <c r="F5" s="7">
        <v>8523411</v>
      </c>
      <c r="I5">
        <f t="shared" si="0"/>
        <v>4.1237113402062264E-3</v>
      </c>
    </row>
    <row r="6" spans="1:9" x14ac:dyDescent="0.2">
      <c r="A6" s="3">
        <v>43069</v>
      </c>
      <c r="B6">
        <v>81.62</v>
      </c>
      <c r="C6">
        <v>82.56</v>
      </c>
      <c r="D6">
        <v>81.58</v>
      </c>
      <c r="E6">
        <v>82.45</v>
      </c>
      <c r="F6" s="7">
        <v>18592679</v>
      </c>
      <c r="I6">
        <f t="shared" si="0"/>
        <v>8.5626911314985055E-3</v>
      </c>
    </row>
    <row r="7" spans="1:9" x14ac:dyDescent="0.2">
      <c r="A7" s="3">
        <v>43039</v>
      </c>
      <c r="B7">
        <v>82.04</v>
      </c>
      <c r="C7">
        <v>82.07</v>
      </c>
      <c r="D7">
        <v>81.569999999999993</v>
      </c>
      <c r="E7">
        <v>81.75</v>
      </c>
      <c r="F7" s="7">
        <v>9754213</v>
      </c>
      <c r="I7">
        <f t="shared" si="0"/>
        <v>1.6664593955975669E-2</v>
      </c>
    </row>
    <row r="8" spans="1:9" x14ac:dyDescent="0.2">
      <c r="A8" s="3">
        <v>43007</v>
      </c>
      <c r="B8">
        <v>80.37</v>
      </c>
      <c r="C8">
        <v>80.48</v>
      </c>
      <c r="D8">
        <v>80.010000000000005</v>
      </c>
      <c r="E8">
        <v>80.41</v>
      </c>
      <c r="F8" s="7">
        <v>9943991</v>
      </c>
      <c r="I8">
        <f t="shared" si="0"/>
        <v>7.4138391664440251E-2</v>
      </c>
    </row>
    <row r="9" spans="1:9" x14ac:dyDescent="0.2">
      <c r="A9" s="3">
        <v>42978</v>
      </c>
      <c r="B9">
        <v>74.81</v>
      </c>
      <c r="C9">
        <v>75.02</v>
      </c>
      <c r="D9">
        <v>74.59</v>
      </c>
      <c r="E9">
        <v>74.86</v>
      </c>
      <c r="F9" s="7">
        <v>15641735</v>
      </c>
      <c r="I9">
        <f t="shared" si="0"/>
        <v>-3.7170418006430873E-2</v>
      </c>
    </row>
    <row r="10" spans="1:9" x14ac:dyDescent="0.2">
      <c r="A10" s="3">
        <v>42947</v>
      </c>
      <c r="B10">
        <v>77.55</v>
      </c>
      <c r="C10">
        <v>78.09</v>
      </c>
      <c r="D10">
        <v>77.319999999999993</v>
      </c>
      <c r="E10">
        <v>77.75</v>
      </c>
      <c r="F10" s="7">
        <v>12820175</v>
      </c>
      <c r="I10">
        <f t="shared" si="0"/>
        <v>-8.54373884213213E-3</v>
      </c>
    </row>
    <row r="11" spans="1:9" x14ac:dyDescent="0.2">
      <c r="A11" s="3">
        <v>42916</v>
      </c>
      <c r="B11">
        <v>78.760000000000005</v>
      </c>
      <c r="C11">
        <v>78.92</v>
      </c>
      <c r="D11">
        <v>78.39</v>
      </c>
      <c r="E11">
        <v>78.42</v>
      </c>
      <c r="F11" s="7">
        <v>14000606</v>
      </c>
      <c r="I11">
        <f t="shared" si="0"/>
        <v>2.8132992327365583E-3</v>
      </c>
    </row>
    <row r="12" spans="1:9" x14ac:dyDescent="0.2">
      <c r="A12" s="3">
        <v>42886</v>
      </c>
      <c r="B12">
        <v>78.62</v>
      </c>
      <c r="C12">
        <v>78.63</v>
      </c>
      <c r="D12">
        <v>78.17</v>
      </c>
      <c r="E12">
        <v>78.2</v>
      </c>
      <c r="F12" s="7">
        <v>13572313</v>
      </c>
      <c r="I12">
        <f t="shared" si="0"/>
        <v>-4.70917653048225E-3</v>
      </c>
    </row>
    <row r="13" spans="1:9" x14ac:dyDescent="0.2">
      <c r="A13" s="3">
        <v>42853</v>
      </c>
      <c r="B13">
        <v>79.349999999999994</v>
      </c>
      <c r="C13">
        <v>79.38</v>
      </c>
      <c r="D13">
        <v>78.489999999999995</v>
      </c>
      <c r="E13">
        <v>78.569999999999993</v>
      </c>
      <c r="F13" s="7">
        <v>12072169</v>
      </c>
      <c r="I13">
        <f t="shared" si="0"/>
        <v>-4.4348707551952419E-3</v>
      </c>
    </row>
    <row r="14" spans="1:9" x14ac:dyDescent="0.2">
      <c r="A14" s="3">
        <v>42825</v>
      </c>
      <c r="B14">
        <v>80.12</v>
      </c>
      <c r="C14">
        <v>80.17</v>
      </c>
      <c r="D14">
        <v>78.77</v>
      </c>
      <c r="E14">
        <v>78.92</v>
      </c>
      <c r="F14" s="7">
        <v>21750398</v>
      </c>
      <c r="I14">
        <f t="shared" si="0"/>
        <v>8.56230031948884E-3</v>
      </c>
    </row>
    <row r="15" spans="1:9" x14ac:dyDescent="0.2">
      <c r="A15" s="3">
        <v>42794</v>
      </c>
      <c r="B15">
        <v>78.459999999999994</v>
      </c>
      <c r="C15">
        <v>78.900000000000006</v>
      </c>
      <c r="D15">
        <v>77.989999999999995</v>
      </c>
      <c r="E15">
        <v>78.25</v>
      </c>
      <c r="F15" s="7">
        <v>16834163</v>
      </c>
      <c r="I15">
        <f t="shared" si="0"/>
        <v>-2.1874999999999999E-2</v>
      </c>
    </row>
    <row r="16" spans="1:9" x14ac:dyDescent="0.2">
      <c r="A16" s="3">
        <v>42766</v>
      </c>
      <c r="B16">
        <v>81.09</v>
      </c>
      <c r="C16">
        <v>81.12</v>
      </c>
      <c r="D16">
        <v>79.27</v>
      </c>
      <c r="E16">
        <v>80</v>
      </c>
      <c r="F16" s="7">
        <v>19128106</v>
      </c>
      <c r="I16">
        <f t="shared" si="0"/>
        <v>-7.0523992099453855E-2</v>
      </c>
    </row>
    <row r="17" spans="1:9" x14ac:dyDescent="0.2">
      <c r="A17" s="3">
        <v>42734</v>
      </c>
      <c r="B17">
        <v>85.85</v>
      </c>
      <c r="C17">
        <v>86.49</v>
      </c>
      <c r="D17">
        <v>85.83</v>
      </c>
      <c r="E17">
        <v>86.07</v>
      </c>
      <c r="F17" s="7">
        <v>9117830</v>
      </c>
      <c r="I17">
        <f t="shared" si="0"/>
        <v>3.3873873873873792E-2</v>
      </c>
    </row>
    <row r="18" spans="1:9" x14ac:dyDescent="0.2">
      <c r="A18" s="3">
        <v>42704</v>
      </c>
      <c r="B18">
        <v>83.53</v>
      </c>
      <c r="C18">
        <v>84.1</v>
      </c>
      <c r="D18">
        <v>83.15</v>
      </c>
      <c r="E18">
        <v>83.25</v>
      </c>
      <c r="F18" s="7">
        <v>22696209</v>
      </c>
      <c r="I18">
        <f t="shared" si="0"/>
        <v>5.7142857142857141E-2</v>
      </c>
    </row>
    <row r="19" spans="1:9" x14ac:dyDescent="0.2">
      <c r="A19" s="3">
        <v>42674</v>
      </c>
      <c r="B19">
        <v>79.28</v>
      </c>
      <c r="C19">
        <v>79.78</v>
      </c>
      <c r="D19">
        <v>78.44</v>
      </c>
      <c r="E19">
        <v>78.75</v>
      </c>
      <c r="F19" s="7">
        <v>16663771</v>
      </c>
      <c r="I19">
        <f t="shared" si="0"/>
        <v>-4.5454545454545456E-2</v>
      </c>
    </row>
    <row r="20" spans="1:9" x14ac:dyDescent="0.2">
      <c r="A20" s="3">
        <v>42643</v>
      </c>
      <c r="B20">
        <v>82.08</v>
      </c>
      <c r="C20">
        <v>83</v>
      </c>
      <c r="D20">
        <v>81.900000000000006</v>
      </c>
      <c r="E20">
        <v>82.5</v>
      </c>
      <c r="F20" s="7">
        <v>15961506</v>
      </c>
      <c r="I20">
        <f t="shared" si="0"/>
        <v>1.5782445064950279E-3</v>
      </c>
    </row>
    <row r="21" spans="1:9" x14ac:dyDescent="0.2">
      <c r="A21" s="3">
        <v>42613</v>
      </c>
      <c r="B21">
        <v>82.37</v>
      </c>
      <c r="C21">
        <v>82.43</v>
      </c>
      <c r="D21">
        <v>81.5</v>
      </c>
      <c r="E21">
        <v>82.37</v>
      </c>
      <c r="F21" s="7">
        <v>12491437</v>
      </c>
      <c r="I21">
        <f t="shared" si="0"/>
        <v>-1.1994722322178242E-2</v>
      </c>
    </row>
    <row r="22" spans="1:9" x14ac:dyDescent="0.2">
      <c r="A22" s="3">
        <v>42580</v>
      </c>
      <c r="B22">
        <v>82.11</v>
      </c>
      <c r="C22">
        <v>83.42</v>
      </c>
      <c r="D22">
        <v>80.709999999999994</v>
      </c>
      <c r="E22">
        <v>83.37</v>
      </c>
      <c r="F22" s="7">
        <v>23928098</v>
      </c>
      <c r="I22">
        <f t="shared" si="0"/>
        <v>-5.0996015936254864E-2</v>
      </c>
    </row>
    <row r="23" spans="1:9" x14ac:dyDescent="0.2">
      <c r="A23" s="3">
        <v>42551</v>
      </c>
      <c r="B23">
        <v>86.53</v>
      </c>
      <c r="C23">
        <v>87.94</v>
      </c>
      <c r="D23">
        <v>86.51</v>
      </c>
      <c r="E23">
        <v>87.85</v>
      </c>
      <c r="F23" s="7">
        <v>14073677</v>
      </c>
      <c r="I23">
        <f t="shared" si="0"/>
        <v>5.297854488792985E-2</v>
      </c>
    </row>
    <row r="24" spans="1:9" x14ac:dyDescent="0.2">
      <c r="A24" s="3">
        <v>42521</v>
      </c>
      <c r="B24">
        <v>84.35</v>
      </c>
      <c r="C24">
        <v>84.54</v>
      </c>
      <c r="D24">
        <v>83.16</v>
      </c>
      <c r="E24">
        <v>83.43</v>
      </c>
      <c r="F24" s="7">
        <v>13178770</v>
      </c>
      <c r="I24">
        <f t="shared" si="0"/>
        <v>1.5457643622200709E-2</v>
      </c>
    </row>
    <row r="25" spans="1:9" x14ac:dyDescent="0.2">
      <c r="A25" s="3">
        <v>42489</v>
      </c>
      <c r="B25">
        <v>82.42</v>
      </c>
      <c r="C25">
        <v>83.44</v>
      </c>
      <c r="D25">
        <v>81.55</v>
      </c>
      <c r="E25">
        <v>82.16</v>
      </c>
      <c r="F25" s="7">
        <v>17885945</v>
      </c>
      <c r="I25">
        <f t="shared" si="0"/>
        <v>5.7536362466211854E-2</v>
      </c>
    </row>
    <row r="26" spans="1:9" x14ac:dyDescent="0.2">
      <c r="A26" s="3">
        <v>42460</v>
      </c>
      <c r="B26">
        <v>78.14</v>
      </c>
      <c r="C26">
        <v>79.09</v>
      </c>
      <c r="D26">
        <v>77.69</v>
      </c>
      <c r="E26">
        <v>77.69</v>
      </c>
      <c r="F26" s="7">
        <v>13896906</v>
      </c>
      <c r="I26">
        <f t="shared" si="0"/>
        <v>4.2958786414283835E-2</v>
      </c>
    </row>
    <row r="27" spans="1:9" x14ac:dyDescent="0.2">
      <c r="A27" s="3">
        <v>42429</v>
      </c>
      <c r="B27">
        <v>76.099999999999994</v>
      </c>
      <c r="C27">
        <v>76.58</v>
      </c>
      <c r="D27">
        <v>74.400000000000006</v>
      </c>
      <c r="E27">
        <v>74.489999999999995</v>
      </c>
      <c r="F27" s="7">
        <v>18903553</v>
      </c>
      <c r="I27">
        <f t="shared" si="0"/>
        <v>3.8912133891213278E-2</v>
      </c>
    </row>
    <row r="28" spans="1:9" x14ac:dyDescent="0.2">
      <c r="A28" s="3">
        <v>42398</v>
      </c>
      <c r="B28">
        <v>70.67</v>
      </c>
      <c r="C28">
        <v>71.7</v>
      </c>
      <c r="D28">
        <v>70.23</v>
      </c>
      <c r="E28">
        <v>71.7</v>
      </c>
      <c r="F28" s="7">
        <v>25161887</v>
      </c>
      <c r="I28">
        <f t="shared" si="0"/>
        <v>-1.3927576601670518E-3</v>
      </c>
    </row>
    <row r="29" spans="1:9" x14ac:dyDescent="0.2">
      <c r="A29" s="3">
        <v>42369</v>
      </c>
      <c r="B29">
        <v>71.39</v>
      </c>
      <c r="C29">
        <v>72.25</v>
      </c>
      <c r="D29">
        <v>71.319999999999993</v>
      </c>
      <c r="E29">
        <v>71.8</v>
      </c>
      <c r="F29" s="7">
        <v>10285519</v>
      </c>
      <c r="I29">
        <f t="shared" si="0"/>
        <v>-4.5339715463369193E-2</v>
      </c>
    </row>
    <row r="30" spans="1:9" x14ac:dyDescent="0.2">
      <c r="A30" s="3">
        <v>42338</v>
      </c>
      <c r="B30">
        <v>74.989999999999995</v>
      </c>
      <c r="C30">
        <v>76.12</v>
      </c>
      <c r="D30">
        <v>74.84</v>
      </c>
      <c r="E30">
        <v>75.209999999999994</v>
      </c>
      <c r="F30" s="7">
        <v>17729175</v>
      </c>
      <c r="I30">
        <f t="shared" si="0"/>
        <v>-4.5003309066843607E-3</v>
      </c>
    </row>
    <row r="31" spans="1:9" x14ac:dyDescent="0.2">
      <c r="A31" s="3">
        <v>42307</v>
      </c>
      <c r="B31">
        <v>75.3</v>
      </c>
      <c r="C31">
        <v>76.59</v>
      </c>
      <c r="D31">
        <v>74.2</v>
      </c>
      <c r="E31">
        <v>75.55</v>
      </c>
      <c r="F31" s="7">
        <v>18758594</v>
      </c>
      <c r="I31">
        <f t="shared" si="0"/>
        <v>0.11282957725732798</v>
      </c>
    </row>
    <row r="32" spans="1:9" x14ac:dyDescent="0.2">
      <c r="A32" s="3">
        <v>42277</v>
      </c>
      <c r="B32">
        <v>67.02</v>
      </c>
      <c r="C32">
        <v>67.89</v>
      </c>
      <c r="D32">
        <v>66.959999999999994</v>
      </c>
      <c r="E32">
        <v>67.89</v>
      </c>
      <c r="F32" s="7">
        <v>18176502</v>
      </c>
      <c r="I32">
        <f t="shared" si="0"/>
        <v>-1.179039301310047E-2</v>
      </c>
    </row>
    <row r="33" spans="1:9" x14ac:dyDescent="0.2">
      <c r="A33" s="3">
        <v>42247</v>
      </c>
      <c r="B33">
        <v>67.819999999999993</v>
      </c>
      <c r="C33">
        <v>68.98</v>
      </c>
      <c r="D33">
        <v>66.930000000000007</v>
      </c>
      <c r="E33">
        <v>68.7</v>
      </c>
      <c r="F33" s="7">
        <v>19570103</v>
      </c>
      <c r="I33">
        <f t="shared" si="0"/>
        <v>-4.1306168015629273E-2</v>
      </c>
    </row>
    <row r="34" spans="1:9" x14ac:dyDescent="0.2">
      <c r="A34" s="3">
        <v>42216</v>
      </c>
      <c r="B34">
        <v>73.88</v>
      </c>
      <c r="C34">
        <v>73.88</v>
      </c>
      <c r="D34">
        <v>71.400000000000006</v>
      </c>
      <c r="E34">
        <v>71.66</v>
      </c>
      <c r="F34" s="7">
        <v>26232661</v>
      </c>
      <c r="I34">
        <f t="shared" ref="I34:I65" si="1">(E34-E35)/E35</f>
        <v>-4.7834174860483768E-2</v>
      </c>
    </row>
    <row r="35" spans="1:9" x14ac:dyDescent="0.2">
      <c r="A35" s="3">
        <v>42185</v>
      </c>
      <c r="B35">
        <v>75.75</v>
      </c>
      <c r="C35">
        <v>76.8</v>
      </c>
      <c r="D35">
        <v>74.900000000000006</v>
      </c>
      <c r="E35">
        <v>75.260000000000005</v>
      </c>
      <c r="F35" s="7">
        <v>14981145</v>
      </c>
      <c r="I35">
        <f t="shared" si="1"/>
        <v>-2.3485143376151398E-2</v>
      </c>
    </row>
    <row r="36" spans="1:9" x14ac:dyDescent="0.2">
      <c r="A36" s="3">
        <v>42153</v>
      </c>
      <c r="B36">
        <v>76.98</v>
      </c>
      <c r="C36">
        <v>77.42</v>
      </c>
      <c r="D36">
        <v>76.78</v>
      </c>
      <c r="E36">
        <v>77.069999999999993</v>
      </c>
      <c r="F36" s="7">
        <v>14631316</v>
      </c>
      <c r="I36">
        <f t="shared" si="1"/>
        <v>-1.6838882510524397E-2</v>
      </c>
    </row>
    <row r="37" spans="1:9" x14ac:dyDescent="0.2">
      <c r="A37" s="3">
        <v>42124</v>
      </c>
      <c r="B37">
        <v>79.55</v>
      </c>
      <c r="C37">
        <v>79.55</v>
      </c>
      <c r="D37">
        <v>78.25</v>
      </c>
      <c r="E37">
        <v>78.39</v>
      </c>
      <c r="F37" s="7">
        <v>13947730</v>
      </c>
      <c r="I37">
        <f t="shared" si="1"/>
        <v>2.7930763178599466E-2</v>
      </c>
    </row>
    <row r="38" spans="1:9" x14ac:dyDescent="0.2">
      <c r="A38" s="3">
        <v>42094</v>
      </c>
      <c r="B38">
        <v>76.13</v>
      </c>
      <c r="C38">
        <v>76.569999999999993</v>
      </c>
      <c r="D38">
        <v>75.78</v>
      </c>
      <c r="E38">
        <v>76.260000000000005</v>
      </c>
      <c r="F38" s="7">
        <v>13353990</v>
      </c>
      <c r="I38">
        <f t="shared" si="1"/>
        <v>-4.0030211480362447E-2</v>
      </c>
    </row>
    <row r="39" spans="1:9" x14ac:dyDescent="0.2">
      <c r="A39" s="3">
        <v>42062</v>
      </c>
      <c r="B39">
        <v>79.75</v>
      </c>
      <c r="C39">
        <v>80.099999999999994</v>
      </c>
      <c r="D39">
        <v>79.260000000000005</v>
      </c>
      <c r="E39">
        <v>79.44</v>
      </c>
      <c r="F39" s="7">
        <v>13090560</v>
      </c>
      <c r="I39">
        <f t="shared" si="1"/>
        <v>2.0423892100192725E-2</v>
      </c>
    </row>
    <row r="40" spans="1:9" x14ac:dyDescent="0.2">
      <c r="A40" s="3">
        <v>42034</v>
      </c>
      <c r="B40">
        <v>77.62</v>
      </c>
      <c r="C40">
        <v>78.739999999999995</v>
      </c>
      <c r="D40">
        <v>76.81</v>
      </c>
      <c r="E40">
        <v>77.849999999999994</v>
      </c>
      <c r="F40" s="7">
        <v>22679947</v>
      </c>
      <c r="I40">
        <f t="shared" si="1"/>
        <v>-5.441515850844169E-2</v>
      </c>
    </row>
    <row r="41" spans="1:9" x14ac:dyDescent="0.2">
      <c r="A41" s="3">
        <v>42004</v>
      </c>
      <c r="B41">
        <v>82.3</v>
      </c>
      <c r="C41">
        <v>82.93</v>
      </c>
      <c r="D41">
        <v>81.98</v>
      </c>
      <c r="E41">
        <v>82.33</v>
      </c>
      <c r="F41" s="7">
        <v>11337219</v>
      </c>
      <c r="I41">
        <f t="shared" si="1"/>
        <v>2.1083963785191652E-2</v>
      </c>
    </row>
    <row r="42" spans="1:9" x14ac:dyDescent="0.2">
      <c r="A42" s="3">
        <v>41971</v>
      </c>
      <c r="B42">
        <v>81.48</v>
      </c>
      <c r="C42">
        <v>81.790000000000006</v>
      </c>
      <c r="D42">
        <v>80.239999999999995</v>
      </c>
      <c r="E42">
        <v>80.63</v>
      </c>
      <c r="F42" s="7">
        <v>19556690</v>
      </c>
      <c r="I42">
        <f t="shared" si="1"/>
        <v>-5.6959064327485431E-2</v>
      </c>
    </row>
    <row r="43" spans="1:9" x14ac:dyDescent="0.2">
      <c r="A43" s="3">
        <v>41943</v>
      </c>
      <c r="B43">
        <v>83.98</v>
      </c>
      <c r="C43">
        <v>85.66</v>
      </c>
      <c r="D43">
        <v>83.38</v>
      </c>
      <c r="E43">
        <v>85.5</v>
      </c>
      <c r="F43" s="7">
        <v>17493736</v>
      </c>
      <c r="I43">
        <f t="shared" si="1"/>
        <v>2.8262176788935587E-2</v>
      </c>
    </row>
    <row r="44" spans="1:9" x14ac:dyDescent="0.2">
      <c r="A44" s="3">
        <v>41912</v>
      </c>
      <c r="B44">
        <v>83.2</v>
      </c>
      <c r="C44">
        <v>83.82</v>
      </c>
      <c r="D44">
        <v>82.77</v>
      </c>
      <c r="E44">
        <v>83.15</v>
      </c>
      <c r="F44" s="7">
        <v>15579333</v>
      </c>
      <c r="I44">
        <f t="shared" si="1"/>
        <v>-5.4361423859888555E-2</v>
      </c>
    </row>
    <row r="45" spans="1:9" x14ac:dyDescent="0.2">
      <c r="A45" s="3">
        <v>41880</v>
      </c>
      <c r="B45">
        <v>87.86</v>
      </c>
      <c r="C45">
        <v>88.12</v>
      </c>
      <c r="D45">
        <v>87.28</v>
      </c>
      <c r="E45">
        <v>87.93</v>
      </c>
      <c r="F45" s="7">
        <v>8873707</v>
      </c>
      <c r="I45">
        <f t="shared" si="1"/>
        <v>1.2202141130424797E-2</v>
      </c>
    </row>
    <row r="46" spans="1:9" x14ac:dyDescent="0.2">
      <c r="A46" s="3">
        <v>41851</v>
      </c>
      <c r="B46">
        <v>89.54</v>
      </c>
      <c r="C46">
        <v>89.54</v>
      </c>
      <c r="D46">
        <v>86.86</v>
      </c>
      <c r="E46">
        <v>86.87</v>
      </c>
      <c r="F46" s="7">
        <v>18297904</v>
      </c>
      <c r="I46">
        <f t="shared" si="1"/>
        <v>-1.7307692307692319E-2</v>
      </c>
    </row>
    <row r="47" spans="1:9" x14ac:dyDescent="0.2">
      <c r="A47" s="3">
        <v>41820</v>
      </c>
      <c r="B47">
        <v>88.86</v>
      </c>
      <c r="C47">
        <v>88.92</v>
      </c>
      <c r="D47">
        <v>88.26</v>
      </c>
      <c r="E47">
        <v>88.4</v>
      </c>
      <c r="F47" s="7">
        <v>9536536</v>
      </c>
      <c r="I47">
        <f t="shared" si="1"/>
        <v>1.4727540500737472E-3</v>
      </c>
    </row>
    <row r="48" spans="1:9" x14ac:dyDescent="0.2">
      <c r="A48" s="3">
        <v>41789</v>
      </c>
      <c r="B48">
        <v>88.5</v>
      </c>
      <c r="C48">
        <v>88.81</v>
      </c>
      <c r="D48">
        <v>88.12</v>
      </c>
      <c r="E48">
        <v>88.27</v>
      </c>
      <c r="F48" s="7">
        <v>11488959</v>
      </c>
      <c r="I48">
        <f t="shared" si="1"/>
        <v>-1.1644832605531365E-2</v>
      </c>
    </row>
    <row r="49" spans="1:9" x14ac:dyDescent="0.2">
      <c r="A49" s="3">
        <v>41759</v>
      </c>
      <c r="B49">
        <v>88.19</v>
      </c>
      <c r="C49">
        <v>89.31</v>
      </c>
      <c r="D49">
        <v>87.83</v>
      </c>
      <c r="E49">
        <v>89.31</v>
      </c>
      <c r="F49" s="7">
        <v>13972286</v>
      </c>
      <c r="I49">
        <f t="shared" si="1"/>
        <v>4.8485559990608065E-2</v>
      </c>
    </row>
    <row r="50" spans="1:9" x14ac:dyDescent="0.2">
      <c r="A50" s="3">
        <v>41729</v>
      </c>
      <c r="B50">
        <v>85.89</v>
      </c>
      <c r="C50">
        <v>86.2</v>
      </c>
      <c r="D50">
        <v>84.87</v>
      </c>
      <c r="E50">
        <v>85.18</v>
      </c>
      <c r="F50" s="7">
        <v>12375215</v>
      </c>
      <c r="I50">
        <f t="shared" si="1"/>
        <v>1.4530728918532791E-2</v>
      </c>
    </row>
    <row r="51" spans="1:9" x14ac:dyDescent="0.2">
      <c r="A51" s="3">
        <v>41698</v>
      </c>
      <c r="B51">
        <v>83.68</v>
      </c>
      <c r="C51">
        <v>84.45</v>
      </c>
      <c r="D51">
        <v>83.53</v>
      </c>
      <c r="E51">
        <v>83.96</v>
      </c>
      <c r="F51" s="7">
        <v>12652612</v>
      </c>
      <c r="I51">
        <f t="shared" si="1"/>
        <v>5.1998496429018812E-2</v>
      </c>
    </row>
    <row r="52" spans="1:9" x14ac:dyDescent="0.2">
      <c r="A52" s="3">
        <v>41670</v>
      </c>
      <c r="B52">
        <v>80.400000000000006</v>
      </c>
      <c r="C52">
        <v>80.78</v>
      </c>
      <c r="D52">
        <v>79.41</v>
      </c>
      <c r="E52">
        <v>79.81</v>
      </c>
      <c r="F52" s="7">
        <v>17372323</v>
      </c>
      <c r="I52">
        <f t="shared" si="1"/>
        <v>-8.9238845144356885E-2</v>
      </c>
    </row>
    <row r="53" spans="1:9" x14ac:dyDescent="0.2">
      <c r="A53" s="3">
        <v>41639</v>
      </c>
      <c r="B53">
        <v>87.02</v>
      </c>
      <c r="C53">
        <v>87.8</v>
      </c>
      <c r="D53">
        <v>86.97</v>
      </c>
      <c r="E53">
        <v>87.63</v>
      </c>
      <c r="F53" s="7">
        <v>8509901</v>
      </c>
      <c r="I53">
        <f t="shared" si="1"/>
        <v>8.2520074119826953E-2</v>
      </c>
    </row>
    <row r="54" spans="1:9" x14ac:dyDescent="0.2">
      <c r="A54" s="3">
        <v>41607</v>
      </c>
      <c r="B54">
        <v>81.099999999999994</v>
      </c>
      <c r="C54">
        <v>81.59</v>
      </c>
      <c r="D54">
        <v>80.790000000000006</v>
      </c>
      <c r="E54">
        <v>80.95</v>
      </c>
      <c r="F54" s="7">
        <v>6770498</v>
      </c>
      <c r="I54">
        <f t="shared" si="1"/>
        <v>5.0207576543850607E-2</v>
      </c>
    </row>
    <row r="55" spans="1:9" x14ac:dyDescent="0.2">
      <c r="A55" s="3">
        <v>41578</v>
      </c>
      <c r="B55">
        <v>76.94</v>
      </c>
      <c r="C55">
        <v>78.23</v>
      </c>
      <c r="D55">
        <v>76.72</v>
      </c>
      <c r="E55">
        <v>77.08</v>
      </c>
      <c r="F55" s="7">
        <v>19185158</v>
      </c>
      <c r="I55">
        <f t="shared" si="1"/>
        <v>4.1621621621621599E-2</v>
      </c>
    </row>
    <row r="56" spans="1:9" x14ac:dyDescent="0.2">
      <c r="A56" s="3">
        <v>41547</v>
      </c>
      <c r="B56">
        <v>74.02</v>
      </c>
      <c r="C56">
        <v>74.569999999999993</v>
      </c>
      <c r="D56">
        <v>73.63</v>
      </c>
      <c r="E56">
        <v>74</v>
      </c>
      <c r="F56" s="7">
        <v>17493686</v>
      </c>
      <c r="I56">
        <f t="shared" si="1"/>
        <v>-1.293850873682805E-2</v>
      </c>
    </row>
    <row r="57" spans="1:9" x14ac:dyDescent="0.2">
      <c r="A57" s="3">
        <v>41516</v>
      </c>
      <c r="B57">
        <v>75.16</v>
      </c>
      <c r="C57">
        <v>75.3</v>
      </c>
      <c r="D57">
        <v>74.650000000000006</v>
      </c>
      <c r="E57">
        <v>74.97</v>
      </c>
      <c r="F57" s="7">
        <v>12482033</v>
      </c>
      <c r="I57">
        <f t="shared" si="1"/>
        <v>-6.3811188811188801E-2</v>
      </c>
    </row>
    <row r="58" spans="1:9" x14ac:dyDescent="0.2">
      <c r="A58" s="3">
        <v>41486</v>
      </c>
      <c r="B58">
        <v>80.23</v>
      </c>
      <c r="C58">
        <v>80.81</v>
      </c>
      <c r="D58">
        <v>79.760000000000005</v>
      </c>
      <c r="E58">
        <v>80.08</v>
      </c>
      <c r="F58" s="7">
        <v>14404069</v>
      </c>
      <c r="I58">
        <f t="shared" si="1"/>
        <v>3.7574501166105098E-2</v>
      </c>
    </row>
    <row r="59" spans="1:9" x14ac:dyDescent="0.2">
      <c r="A59" s="3">
        <v>41453</v>
      </c>
      <c r="B59">
        <v>76.75</v>
      </c>
      <c r="C59">
        <v>77.52</v>
      </c>
      <c r="D59">
        <v>76.5</v>
      </c>
      <c r="E59">
        <v>77.180000000000007</v>
      </c>
      <c r="F59" s="7">
        <v>22993546</v>
      </c>
      <c r="I59">
        <f t="shared" si="1"/>
        <v>-1.293995859213177E-3</v>
      </c>
    </row>
    <row r="60" spans="1:9" x14ac:dyDescent="0.2">
      <c r="A60" s="3">
        <v>41425</v>
      </c>
      <c r="B60">
        <v>78.540000000000006</v>
      </c>
      <c r="C60">
        <v>78.900000000000006</v>
      </c>
      <c r="D60">
        <v>77.27</v>
      </c>
      <c r="E60">
        <v>77.28</v>
      </c>
      <c r="F60" s="7">
        <v>17924357</v>
      </c>
      <c r="I60">
        <f t="shared" si="1"/>
        <v>2.3711749900649177E-2</v>
      </c>
    </row>
    <row r="61" spans="1:9" x14ac:dyDescent="0.2">
      <c r="A61" s="3">
        <v>41394</v>
      </c>
      <c r="B61">
        <v>74.87</v>
      </c>
      <c r="C61">
        <v>75.489999999999995</v>
      </c>
      <c r="D61">
        <v>74.45</v>
      </c>
      <c r="E61">
        <v>75.489999999999995</v>
      </c>
      <c r="F61" s="7">
        <v>14585789</v>
      </c>
      <c r="I61">
        <f t="shared" si="1"/>
        <v>-1.2428048142333894E-2</v>
      </c>
    </row>
    <row r="62" spans="1:9" x14ac:dyDescent="0.2">
      <c r="A62" s="3">
        <v>41361</v>
      </c>
      <c r="B62">
        <v>76.89</v>
      </c>
      <c r="C62">
        <v>77.180000000000007</v>
      </c>
      <c r="D62">
        <v>76.34</v>
      </c>
      <c r="E62">
        <v>76.44</v>
      </c>
      <c r="F62" s="7">
        <v>17487808</v>
      </c>
      <c r="I62">
        <f t="shared" si="1"/>
        <v>6.1866526260365784E-3</v>
      </c>
    </row>
    <row r="63" spans="1:9" x14ac:dyDescent="0.2">
      <c r="A63" s="3">
        <v>41333</v>
      </c>
      <c r="B63">
        <v>76.069999999999993</v>
      </c>
      <c r="C63">
        <v>76.19</v>
      </c>
      <c r="D63">
        <v>75.53</v>
      </c>
      <c r="E63">
        <v>75.97</v>
      </c>
      <c r="F63" s="7">
        <v>14556048</v>
      </c>
      <c r="I63">
        <f t="shared" si="1"/>
        <v>1.7141350210969864E-3</v>
      </c>
    </row>
    <row r="64" spans="1:9" x14ac:dyDescent="0.2">
      <c r="A64" s="3">
        <v>41305</v>
      </c>
      <c r="B64">
        <v>76.45</v>
      </c>
      <c r="C64">
        <v>76.88</v>
      </c>
      <c r="D64">
        <v>75.650000000000006</v>
      </c>
      <c r="E64">
        <v>75.84</v>
      </c>
      <c r="F64" s="7">
        <v>15994835</v>
      </c>
      <c r="I64">
        <f t="shared" si="1"/>
        <v>3.9473684210526452E-2</v>
      </c>
    </row>
    <row r="65" spans="1:9" x14ac:dyDescent="0.2">
      <c r="A65" s="3">
        <v>41274</v>
      </c>
      <c r="B65">
        <v>71.680000000000007</v>
      </c>
      <c r="C65">
        <v>73.05</v>
      </c>
      <c r="D65">
        <v>71.400000000000006</v>
      </c>
      <c r="E65">
        <v>72.959999999999994</v>
      </c>
      <c r="F65" s="7">
        <v>19812722</v>
      </c>
      <c r="I65">
        <f t="shared" si="1"/>
        <v>-1.8034993270524945E-2</v>
      </c>
    </row>
    <row r="66" spans="1:9" x14ac:dyDescent="0.2">
      <c r="A66" s="3">
        <v>41243</v>
      </c>
      <c r="B66">
        <v>74.239999999999995</v>
      </c>
      <c r="C66">
        <v>74.52</v>
      </c>
      <c r="D66">
        <v>74.03</v>
      </c>
      <c r="E66">
        <v>74.3</v>
      </c>
      <c r="F66" s="7">
        <v>15523494</v>
      </c>
      <c r="I66">
        <f t="shared" ref="I66:I97" si="2">(E66-E67)/E67</f>
        <v>-2.7104884116799885E-2</v>
      </c>
    </row>
    <row r="67" spans="1:9" x14ac:dyDescent="0.2">
      <c r="A67" s="3">
        <v>41213</v>
      </c>
      <c r="B67">
        <v>76.25</v>
      </c>
      <c r="C67">
        <v>76.569999999999993</v>
      </c>
      <c r="D67">
        <v>75.48</v>
      </c>
      <c r="E67">
        <v>76.37</v>
      </c>
      <c r="F67" s="7">
        <v>14848929</v>
      </c>
      <c r="I67">
        <f t="shared" si="2"/>
        <v>-3.1327502936952731E-3</v>
      </c>
    </row>
    <row r="68" spans="1:9" x14ac:dyDescent="0.2">
      <c r="A68" s="3">
        <v>41180</v>
      </c>
      <c r="B68">
        <v>76.63</v>
      </c>
      <c r="C68">
        <v>76.77</v>
      </c>
      <c r="D68">
        <v>76.17</v>
      </c>
      <c r="E68">
        <v>76.61</v>
      </c>
      <c r="F68" s="7">
        <v>12508383</v>
      </c>
      <c r="I68">
        <f t="shared" si="2"/>
        <v>4.758648981266244E-2</v>
      </c>
    </row>
    <row r="69" spans="1:9" x14ac:dyDescent="0.2">
      <c r="A69" s="3">
        <v>41152</v>
      </c>
      <c r="B69">
        <v>73.39</v>
      </c>
      <c r="C69">
        <v>73.59</v>
      </c>
      <c r="D69">
        <v>73</v>
      </c>
      <c r="E69">
        <v>73.13</v>
      </c>
      <c r="F69" s="7">
        <v>14182556</v>
      </c>
      <c r="I69">
        <f t="shared" si="2"/>
        <v>1.1759822910901968E-2</v>
      </c>
    </row>
    <row r="70" spans="1:9" x14ac:dyDescent="0.2">
      <c r="A70" s="3">
        <v>41121</v>
      </c>
      <c r="B70">
        <v>72.72</v>
      </c>
      <c r="C70">
        <v>72.959999999999994</v>
      </c>
      <c r="D70">
        <v>72.23</v>
      </c>
      <c r="E70">
        <v>72.28</v>
      </c>
      <c r="F70" s="7">
        <v>12215798</v>
      </c>
      <c r="I70">
        <f t="shared" si="2"/>
        <v>1.4883459702330838E-2</v>
      </c>
    </row>
    <row r="71" spans="1:9" x14ac:dyDescent="0.2">
      <c r="A71" s="3">
        <v>41089</v>
      </c>
      <c r="B71">
        <v>70.56</v>
      </c>
      <c r="C71">
        <v>71.33</v>
      </c>
      <c r="D71">
        <v>70.290000000000006</v>
      </c>
      <c r="E71">
        <v>71.22</v>
      </c>
      <c r="F71" s="7">
        <v>24914544</v>
      </c>
      <c r="I71">
        <f t="shared" si="2"/>
        <v>8.8325183374083155E-2</v>
      </c>
    </row>
    <row r="72" spans="1:9" x14ac:dyDescent="0.2">
      <c r="A72" s="3">
        <v>41060</v>
      </c>
      <c r="B72">
        <v>66.48</v>
      </c>
      <c r="C72">
        <v>66.7</v>
      </c>
      <c r="D72">
        <v>65.260000000000005</v>
      </c>
      <c r="E72">
        <v>65.44</v>
      </c>
      <c r="F72" s="7">
        <v>38958171</v>
      </c>
      <c r="I72">
        <f t="shared" si="2"/>
        <v>-8.3088132268460221E-2</v>
      </c>
    </row>
    <row r="73" spans="1:9" x14ac:dyDescent="0.2">
      <c r="A73" s="3">
        <v>41029</v>
      </c>
      <c r="B73">
        <v>71.05</v>
      </c>
      <c r="C73">
        <v>71.75</v>
      </c>
      <c r="D73">
        <v>70.98</v>
      </c>
      <c r="E73">
        <v>71.37</v>
      </c>
      <c r="F73" s="7">
        <v>11735751</v>
      </c>
      <c r="I73">
        <f t="shared" si="2"/>
        <v>-4.4636629934439002E-3</v>
      </c>
    </row>
    <row r="74" spans="1:9" x14ac:dyDescent="0.2">
      <c r="A74" s="3">
        <v>40998</v>
      </c>
      <c r="B74">
        <v>71.48</v>
      </c>
      <c r="C74">
        <v>71.709999999999994</v>
      </c>
      <c r="D74">
        <v>71.16</v>
      </c>
      <c r="E74">
        <v>71.69</v>
      </c>
      <c r="F74" s="7">
        <v>12970772</v>
      </c>
      <c r="I74">
        <f t="shared" si="2"/>
        <v>2.6573426573426257E-3</v>
      </c>
    </row>
    <row r="75" spans="1:9" x14ac:dyDescent="0.2">
      <c r="A75" s="3">
        <v>40968</v>
      </c>
      <c r="B75">
        <v>72.290000000000006</v>
      </c>
      <c r="C75">
        <v>72.319999999999993</v>
      </c>
      <c r="D75">
        <v>71.260000000000005</v>
      </c>
      <c r="E75">
        <v>71.5</v>
      </c>
      <c r="F75" s="7">
        <v>18295783</v>
      </c>
      <c r="I75">
        <f t="shared" si="2"/>
        <v>3.8640325392213778E-2</v>
      </c>
    </row>
    <row r="76" spans="1:9" x14ac:dyDescent="0.2">
      <c r="A76" s="3">
        <v>40939</v>
      </c>
      <c r="B76">
        <v>69.81</v>
      </c>
      <c r="C76">
        <v>70.16</v>
      </c>
      <c r="D76">
        <v>68.61</v>
      </c>
      <c r="E76">
        <v>68.84</v>
      </c>
      <c r="F76" s="7">
        <v>27229961</v>
      </c>
      <c r="I76">
        <f t="shared" si="2"/>
        <v>-1.2055109070034492E-2</v>
      </c>
    </row>
    <row r="77" spans="1:9" x14ac:dyDescent="0.2">
      <c r="A77" s="3">
        <v>40907</v>
      </c>
      <c r="B77">
        <v>70.010000000000005</v>
      </c>
      <c r="C77">
        <v>70.12</v>
      </c>
      <c r="D77">
        <v>69.52</v>
      </c>
      <c r="E77">
        <v>69.680000000000007</v>
      </c>
      <c r="F77" s="7">
        <v>9769365</v>
      </c>
      <c r="I77">
        <f t="shared" si="2"/>
        <v>5.3682141236957685E-2</v>
      </c>
    </row>
    <row r="78" spans="1:9" x14ac:dyDescent="0.2">
      <c r="A78" s="3">
        <v>40877</v>
      </c>
      <c r="B78">
        <v>64.47</v>
      </c>
      <c r="C78">
        <v>66.2</v>
      </c>
      <c r="D78">
        <v>64.430000000000007</v>
      </c>
      <c r="E78">
        <v>66.13</v>
      </c>
      <c r="F78" s="7">
        <v>33955262</v>
      </c>
      <c r="I78">
        <f t="shared" si="2"/>
        <v>3.6195549984330853E-2</v>
      </c>
    </row>
    <row r="79" spans="1:9" x14ac:dyDescent="0.2">
      <c r="A79" s="3">
        <v>40847</v>
      </c>
      <c r="B79">
        <v>65.86</v>
      </c>
      <c r="C79">
        <v>65.900000000000006</v>
      </c>
      <c r="D79">
        <v>63.74</v>
      </c>
      <c r="E79">
        <v>63.82</v>
      </c>
      <c r="F79" s="7">
        <v>30619801</v>
      </c>
      <c r="I79">
        <f t="shared" si="2"/>
        <v>7.5315922493681534E-2</v>
      </c>
    </row>
    <row r="80" spans="1:9" x14ac:dyDescent="0.2">
      <c r="A80" s="3">
        <v>40816</v>
      </c>
      <c r="B80">
        <v>59.46</v>
      </c>
      <c r="C80">
        <v>60.96</v>
      </c>
      <c r="D80">
        <v>59.35</v>
      </c>
      <c r="E80">
        <v>59.35</v>
      </c>
      <c r="F80" s="7">
        <v>30921407</v>
      </c>
      <c r="I80">
        <f t="shared" si="2"/>
        <v>-1.8846090262853374E-2</v>
      </c>
    </row>
    <row r="81" spans="1:9" x14ac:dyDescent="0.2">
      <c r="A81" s="3">
        <v>40786</v>
      </c>
      <c r="B81">
        <v>60.77</v>
      </c>
      <c r="C81">
        <v>61.19</v>
      </c>
      <c r="D81">
        <v>59.93</v>
      </c>
      <c r="E81">
        <v>60.49</v>
      </c>
      <c r="F81" s="7">
        <v>29191502</v>
      </c>
      <c r="I81">
        <f t="shared" si="2"/>
        <v>-6.6224143254090748E-2</v>
      </c>
    </row>
    <row r="82" spans="1:9" x14ac:dyDescent="0.2">
      <c r="A82" s="3">
        <v>40753</v>
      </c>
      <c r="B82">
        <v>65.59</v>
      </c>
      <c r="C82">
        <v>65.66</v>
      </c>
      <c r="D82">
        <v>64.75</v>
      </c>
      <c r="E82">
        <v>64.78</v>
      </c>
      <c r="F82" s="7">
        <v>26610158</v>
      </c>
      <c r="I82">
        <f t="shared" si="2"/>
        <v>-1.9524746481004877E-2</v>
      </c>
    </row>
    <row r="83" spans="1:9" x14ac:dyDescent="0.2">
      <c r="A83" s="3">
        <v>40724</v>
      </c>
      <c r="B83">
        <v>65.27</v>
      </c>
      <c r="C83">
        <v>66.09</v>
      </c>
      <c r="D83">
        <v>65.17</v>
      </c>
      <c r="E83">
        <v>66.069999999999993</v>
      </c>
      <c r="F83" s="7">
        <v>19946073</v>
      </c>
      <c r="I83">
        <f t="shared" si="2"/>
        <v>-2.5084845801977319E-2</v>
      </c>
    </row>
    <row r="84" spans="1:9" x14ac:dyDescent="0.2">
      <c r="A84" s="3">
        <v>40694</v>
      </c>
      <c r="B84">
        <v>67.61</v>
      </c>
      <c r="C84">
        <v>67.989999999999995</v>
      </c>
      <c r="D84">
        <v>67.16</v>
      </c>
      <c r="E84">
        <v>67.77</v>
      </c>
      <c r="F84" s="7">
        <v>23630699</v>
      </c>
      <c r="I84">
        <f t="shared" si="2"/>
        <v>-4.5761757251478456E-2</v>
      </c>
    </row>
    <row r="85" spans="1:9" x14ac:dyDescent="0.2">
      <c r="A85" s="3">
        <v>40662</v>
      </c>
      <c r="B85">
        <v>70.58</v>
      </c>
      <c r="C85">
        <v>71.040000000000006</v>
      </c>
      <c r="D85">
        <v>70.260000000000005</v>
      </c>
      <c r="E85">
        <v>71.02</v>
      </c>
      <c r="F85" s="7">
        <v>17354928</v>
      </c>
      <c r="I85">
        <f t="shared" si="2"/>
        <v>4.5641931684334426E-2</v>
      </c>
    </row>
    <row r="86" spans="1:9" x14ac:dyDescent="0.2">
      <c r="A86" s="3">
        <v>40633</v>
      </c>
      <c r="B86">
        <v>68.47</v>
      </c>
      <c r="C86">
        <v>68.569999999999993</v>
      </c>
      <c r="D86">
        <v>67.900000000000006</v>
      </c>
      <c r="E86">
        <v>67.92</v>
      </c>
      <c r="F86" s="7">
        <v>15330262</v>
      </c>
      <c r="I86">
        <f t="shared" si="2"/>
        <v>-1.6364952932657429E-2</v>
      </c>
    </row>
    <row r="87" spans="1:9" x14ac:dyDescent="0.2">
      <c r="A87" s="3">
        <v>40602</v>
      </c>
      <c r="B87">
        <v>69.319999999999993</v>
      </c>
      <c r="C87">
        <v>69.88</v>
      </c>
      <c r="D87">
        <v>69.010000000000005</v>
      </c>
      <c r="E87">
        <v>69.05</v>
      </c>
      <c r="F87" s="7">
        <v>24509993</v>
      </c>
      <c r="I87">
        <f t="shared" si="2"/>
        <v>6.5750887482636064E-2</v>
      </c>
    </row>
    <row r="88" spans="1:9" x14ac:dyDescent="0.2">
      <c r="A88" s="3">
        <v>40574</v>
      </c>
      <c r="B88">
        <v>64.180000000000007</v>
      </c>
      <c r="C88">
        <v>64.900000000000006</v>
      </c>
      <c r="D88">
        <v>63.45</v>
      </c>
      <c r="E88">
        <v>64.790000000000006</v>
      </c>
      <c r="F88" s="7">
        <v>34514377</v>
      </c>
      <c r="I88">
        <f t="shared" si="2"/>
        <v>0.10337193460490476</v>
      </c>
    </row>
    <row r="89" spans="1:9" x14ac:dyDescent="0.2">
      <c r="A89" s="3">
        <v>40543</v>
      </c>
      <c r="B89">
        <v>58.75</v>
      </c>
      <c r="C89">
        <v>59.03</v>
      </c>
      <c r="D89">
        <v>58.64</v>
      </c>
      <c r="E89">
        <v>58.72</v>
      </c>
      <c r="F89" s="7">
        <v>15273710</v>
      </c>
      <c r="I89">
        <f t="shared" si="2"/>
        <v>5.1199427139276756E-2</v>
      </c>
    </row>
    <row r="90" spans="1:9" x14ac:dyDescent="0.2">
      <c r="A90" s="3">
        <v>40512</v>
      </c>
      <c r="B90">
        <v>55.05</v>
      </c>
      <c r="C90">
        <v>56.01</v>
      </c>
      <c r="D90">
        <v>54.86</v>
      </c>
      <c r="E90">
        <v>55.86</v>
      </c>
      <c r="F90" s="7">
        <v>27524237</v>
      </c>
      <c r="I90">
        <f t="shared" si="2"/>
        <v>5.2770448548812611E-2</v>
      </c>
    </row>
    <row r="91" spans="1:9" x14ac:dyDescent="0.2">
      <c r="A91" s="3">
        <v>40480</v>
      </c>
      <c r="B91">
        <v>52.75</v>
      </c>
      <c r="C91">
        <v>53.12</v>
      </c>
      <c r="D91">
        <v>52.66</v>
      </c>
      <c r="E91">
        <v>53.06</v>
      </c>
      <c r="F91" s="7">
        <v>19270797</v>
      </c>
      <c r="I91">
        <f t="shared" si="2"/>
        <v>7.6049482863516524E-2</v>
      </c>
    </row>
    <row r="92" spans="1:9" x14ac:dyDescent="0.2">
      <c r="A92" s="3">
        <v>40451</v>
      </c>
      <c r="B92">
        <v>49.44</v>
      </c>
      <c r="C92">
        <v>49.83</v>
      </c>
      <c r="D92">
        <v>49.05</v>
      </c>
      <c r="E92">
        <v>49.31</v>
      </c>
      <c r="F92" s="7">
        <v>25463704</v>
      </c>
      <c r="I92">
        <f t="shared" si="2"/>
        <v>4.5367818528725894E-2</v>
      </c>
    </row>
    <row r="93" spans="1:9" x14ac:dyDescent="0.2">
      <c r="A93" s="3">
        <v>40421</v>
      </c>
      <c r="B93">
        <v>46.88</v>
      </c>
      <c r="C93">
        <v>47.51</v>
      </c>
      <c r="D93">
        <v>46.68</v>
      </c>
      <c r="E93">
        <v>47.17</v>
      </c>
      <c r="F93" s="7">
        <v>26985500</v>
      </c>
      <c r="I93">
        <f t="shared" si="2"/>
        <v>-2.5375343624444375E-3</v>
      </c>
    </row>
    <row r="94" spans="1:9" x14ac:dyDescent="0.2">
      <c r="A94" s="3">
        <v>40389</v>
      </c>
      <c r="B94">
        <v>47.66</v>
      </c>
      <c r="C94">
        <v>47.95</v>
      </c>
      <c r="D94">
        <v>47.22</v>
      </c>
      <c r="E94">
        <v>47.29</v>
      </c>
      <c r="F94" s="7">
        <v>29367800</v>
      </c>
      <c r="I94">
        <f t="shared" si="2"/>
        <v>4.5776205218929687E-2</v>
      </c>
    </row>
    <row r="95" spans="1:9" x14ac:dyDescent="0.2">
      <c r="A95" s="3">
        <v>40359</v>
      </c>
      <c r="B95">
        <v>45.43</v>
      </c>
      <c r="C95">
        <v>45.74</v>
      </c>
      <c r="D95">
        <v>45.1</v>
      </c>
      <c r="E95">
        <v>45.22</v>
      </c>
      <c r="F95" s="7">
        <v>43944800</v>
      </c>
      <c r="I95">
        <f t="shared" si="2"/>
        <v>-5.6146942183260239E-2</v>
      </c>
    </row>
    <row r="96" spans="1:9" x14ac:dyDescent="0.2">
      <c r="A96" s="3">
        <v>40326</v>
      </c>
      <c r="B96">
        <v>48.5</v>
      </c>
      <c r="C96">
        <v>48.86</v>
      </c>
      <c r="D96">
        <v>47.76</v>
      </c>
      <c r="E96">
        <v>47.91</v>
      </c>
      <c r="F96" s="7">
        <v>32081200</v>
      </c>
      <c r="I96">
        <f t="shared" si="2"/>
        <v>-0.10179977502812161</v>
      </c>
    </row>
    <row r="97" spans="1:9" x14ac:dyDescent="0.2">
      <c r="A97" s="3">
        <v>40298</v>
      </c>
      <c r="B97">
        <v>54.22</v>
      </c>
      <c r="C97">
        <v>54.55</v>
      </c>
      <c r="D97">
        <v>53.3</v>
      </c>
      <c r="E97">
        <v>53.34</v>
      </c>
      <c r="F97" s="7">
        <v>43762000</v>
      </c>
      <c r="I97">
        <f t="shared" si="2"/>
        <v>1.1952191235059809E-2</v>
      </c>
    </row>
    <row r="98" spans="1:9" x14ac:dyDescent="0.2">
      <c r="A98" s="3">
        <v>40268</v>
      </c>
      <c r="B98">
        <v>52.68</v>
      </c>
      <c r="C98">
        <v>52.88</v>
      </c>
      <c r="D98">
        <v>52.41</v>
      </c>
      <c r="E98">
        <v>52.71</v>
      </c>
      <c r="F98" s="7">
        <v>22354300</v>
      </c>
      <c r="I98">
        <f t="shared" ref="I98:I111" si="3">(E98-E99)/E99</f>
        <v>3.0297107114933629E-2</v>
      </c>
    </row>
    <row r="99" spans="1:9" x14ac:dyDescent="0.2">
      <c r="A99" s="3">
        <v>40235</v>
      </c>
      <c r="B99">
        <v>51.36</v>
      </c>
      <c r="C99">
        <v>51.47</v>
      </c>
      <c r="D99">
        <v>51.09</v>
      </c>
      <c r="E99">
        <v>51.16</v>
      </c>
      <c r="F99" s="7">
        <v>20130400</v>
      </c>
      <c r="I99">
        <f t="shared" si="3"/>
        <v>1.5482334259626716E-2</v>
      </c>
    </row>
    <row r="100" spans="1:9" x14ac:dyDescent="0.2">
      <c r="A100" s="3">
        <v>40207</v>
      </c>
      <c r="B100">
        <v>50.94</v>
      </c>
      <c r="C100">
        <v>51.47</v>
      </c>
      <c r="D100">
        <v>50.06</v>
      </c>
      <c r="E100">
        <v>50.38</v>
      </c>
      <c r="F100" s="7">
        <v>40880400</v>
      </c>
      <c r="I100">
        <f t="shared" si="3"/>
        <v>-5.5138784696174004E-2</v>
      </c>
    </row>
    <row r="101" spans="1:9" x14ac:dyDescent="0.2">
      <c r="A101" s="3">
        <v>40178</v>
      </c>
      <c r="B101">
        <v>53.83</v>
      </c>
      <c r="C101">
        <v>53.84</v>
      </c>
      <c r="D101">
        <v>53.26</v>
      </c>
      <c r="E101">
        <v>53.32</v>
      </c>
      <c r="F101" s="7">
        <v>18852200</v>
      </c>
      <c r="I101">
        <f t="shared" si="3"/>
        <v>-9.1652470187393559E-2</v>
      </c>
    </row>
    <row r="102" spans="1:9" x14ac:dyDescent="0.2">
      <c r="A102" s="3">
        <v>40147</v>
      </c>
      <c r="B102">
        <v>58.24</v>
      </c>
      <c r="C102">
        <v>58.92</v>
      </c>
      <c r="D102">
        <v>58.13</v>
      </c>
      <c r="E102">
        <v>58.7</v>
      </c>
      <c r="F102" s="7">
        <v>21436500</v>
      </c>
      <c r="I102">
        <f t="shared" si="3"/>
        <v>5.367079518937358E-2</v>
      </c>
    </row>
    <row r="103" spans="1:9" x14ac:dyDescent="0.2">
      <c r="A103" s="3">
        <v>40116</v>
      </c>
      <c r="B103">
        <v>57.04</v>
      </c>
      <c r="C103">
        <v>57.39</v>
      </c>
      <c r="D103">
        <v>55.23</v>
      </c>
      <c r="E103">
        <v>55.71</v>
      </c>
      <c r="F103" s="7">
        <v>32132100</v>
      </c>
      <c r="I103">
        <f t="shared" si="3"/>
        <v>4.4431946006749108E-2</v>
      </c>
    </row>
    <row r="104" spans="1:9" x14ac:dyDescent="0.2">
      <c r="A104" s="3">
        <v>40086</v>
      </c>
      <c r="B104">
        <v>53.62</v>
      </c>
      <c r="C104">
        <v>53.83</v>
      </c>
      <c r="D104">
        <v>52.89</v>
      </c>
      <c r="E104">
        <v>53.34</v>
      </c>
      <c r="F104" s="7">
        <v>27119800</v>
      </c>
      <c r="I104">
        <f t="shared" si="3"/>
        <v>-7.8124999999999003E-3</v>
      </c>
    </row>
    <row r="105" spans="1:9" x14ac:dyDescent="0.2">
      <c r="A105" s="3">
        <v>40056</v>
      </c>
      <c r="B105">
        <v>53.99</v>
      </c>
      <c r="C105">
        <v>54.3</v>
      </c>
      <c r="D105">
        <v>53.6</v>
      </c>
      <c r="E105">
        <v>53.76</v>
      </c>
      <c r="F105" s="7">
        <v>24332900</v>
      </c>
      <c r="I105">
        <f t="shared" si="3"/>
        <v>-1.1583011583011629E-2</v>
      </c>
    </row>
    <row r="106" spans="1:9" x14ac:dyDescent="0.2">
      <c r="A106" s="3">
        <v>40025</v>
      </c>
      <c r="B106">
        <v>54.36</v>
      </c>
      <c r="C106">
        <v>54.47</v>
      </c>
      <c r="D106">
        <v>53.65</v>
      </c>
      <c r="E106">
        <v>54.39</v>
      </c>
      <c r="F106" s="7">
        <v>28071500</v>
      </c>
      <c r="I106">
        <f t="shared" si="3"/>
        <v>6.8493150684931026E-3</v>
      </c>
    </row>
    <row r="107" spans="1:9" x14ac:dyDescent="0.2">
      <c r="A107" s="3">
        <v>39994</v>
      </c>
      <c r="B107">
        <v>54.55</v>
      </c>
      <c r="C107">
        <v>54.84</v>
      </c>
      <c r="D107">
        <v>53.4</v>
      </c>
      <c r="E107">
        <v>54.02</v>
      </c>
      <c r="F107" s="7">
        <v>27340300</v>
      </c>
      <c r="I107">
        <f t="shared" si="3"/>
        <v>8.2120194102277867E-3</v>
      </c>
    </row>
    <row r="108" spans="1:9" x14ac:dyDescent="0.2">
      <c r="A108" s="3">
        <v>39962</v>
      </c>
      <c r="B108">
        <v>53.93</v>
      </c>
      <c r="C108">
        <v>54.28</v>
      </c>
      <c r="D108">
        <v>53.28</v>
      </c>
      <c r="E108">
        <v>53.58</v>
      </c>
      <c r="F108" s="7">
        <v>33192300</v>
      </c>
      <c r="I108">
        <f t="shared" si="3"/>
        <v>4.6280023432923208E-2</v>
      </c>
    </row>
    <row r="109" spans="1:9" x14ac:dyDescent="0.2">
      <c r="A109" s="3">
        <v>39933</v>
      </c>
      <c r="B109">
        <v>52.72</v>
      </c>
      <c r="C109">
        <v>52.8</v>
      </c>
      <c r="D109">
        <v>50.86</v>
      </c>
      <c r="E109">
        <v>51.21</v>
      </c>
      <c r="F109" s="7">
        <v>35085700</v>
      </c>
      <c r="I109">
        <f t="shared" si="3"/>
        <v>-2.1028484037468962E-2</v>
      </c>
    </row>
    <row r="110" spans="1:9" x14ac:dyDescent="0.2">
      <c r="A110" s="3">
        <v>39903</v>
      </c>
      <c r="B110">
        <v>53.03</v>
      </c>
      <c r="C110">
        <v>53.26</v>
      </c>
      <c r="D110">
        <v>52.03</v>
      </c>
      <c r="E110">
        <v>52.31</v>
      </c>
      <c r="F110" s="7">
        <v>41126300</v>
      </c>
      <c r="I110">
        <f t="shared" si="3"/>
        <v>3.0680728667306558E-3</v>
      </c>
    </row>
    <row r="111" spans="1:9" x14ac:dyDescent="0.2">
      <c r="A111" s="3">
        <v>39871</v>
      </c>
      <c r="B111">
        <v>53.6</v>
      </c>
      <c r="C111">
        <v>53.94</v>
      </c>
      <c r="D111">
        <v>52.15</v>
      </c>
      <c r="E111">
        <v>52.15</v>
      </c>
      <c r="F111" s="7">
        <v>64952000</v>
      </c>
      <c r="I111">
        <f t="shared" si="3"/>
        <v>-0.10778443113772462</v>
      </c>
    </row>
    <row r="112" spans="1:9" x14ac:dyDescent="0.2">
      <c r="A112" s="3">
        <v>39843</v>
      </c>
      <c r="B112">
        <v>59.8</v>
      </c>
      <c r="C112">
        <v>60.29</v>
      </c>
      <c r="D112">
        <v>58.08</v>
      </c>
      <c r="E112">
        <v>58.45</v>
      </c>
      <c r="F112" s="7">
        <v>51904700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22</vt:i4>
      </vt:variant>
    </vt:vector>
  </HeadingPairs>
  <TitlesOfParts>
    <vt:vector size="28" baseType="lpstr">
      <vt:lpstr>Tickers</vt:lpstr>
      <vt:lpstr>Consolidate</vt:lpstr>
      <vt:lpstr>Summary</vt:lpstr>
      <vt:lpstr>Model</vt:lpstr>
      <vt:lpstr>Frontier</vt:lpstr>
      <vt:lpstr>Yahoo</vt:lpstr>
      <vt:lpstr>AAPL</vt:lpstr>
      <vt:lpstr>AXP</vt:lpstr>
      <vt:lpstr>COST</vt:lpstr>
      <vt:lpstr>covariances</vt:lpstr>
      <vt:lpstr>endDate</vt:lpstr>
      <vt:lpstr>F</vt:lpstr>
      <vt:lpstr>GE</vt:lpstr>
      <vt:lpstr>IBM</vt:lpstr>
      <vt:lpstr>LUV</vt:lpstr>
      <vt:lpstr>maxReturn</vt:lpstr>
      <vt:lpstr>meanReturn</vt:lpstr>
      <vt:lpstr>means</vt:lpstr>
      <vt:lpstr>minReturn</vt:lpstr>
      <vt:lpstr>MSFT</vt:lpstr>
      <vt:lpstr>ORCL</vt:lpstr>
      <vt:lpstr>portfolioStdev</vt:lpstr>
      <vt:lpstr>portfolioVariance</vt:lpstr>
      <vt:lpstr>RequiredReturn</vt:lpstr>
      <vt:lpstr>startDate</vt:lpstr>
      <vt:lpstr>sumOfWeights</vt:lpstr>
      <vt:lpstr>weights</vt:lpstr>
      <vt:lpstr>XOM</vt:lpstr>
    </vt:vector>
  </TitlesOfParts>
  <Company>Freeman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gallen</dc:creator>
  <cp:lastModifiedBy>Gove Allen</cp:lastModifiedBy>
  <cp:lastPrinted>2007-11-19T18:25:24Z</cp:lastPrinted>
  <dcterms:created xsi:type="dcterms:W3CDTF">2006-10-23T21:11:26Z</dcterms:created>
  <dcterms:modified xsi:type="dcterms:W3CDTF">2018-04-18T22:24:34Z</dcterms:modified>
</cp:coreProperties>
</file>